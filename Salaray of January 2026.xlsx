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072" tabRatio="932" firstSheet="12" activeTab="12"/>
  </bookViews>
  <sheets>
    <sheet name="January" sheetId="4" r:id="rId1"/>
    <sheet name="February" sheetId="5" r:id="rId2"/>
    <sheet name="March" sheetId="17" r:id="rId3"/>
    <sheet name="April" sheetId="18" r:id="rId4"/>
    <sheet name="May" sheetId="19" r:id="rId5"/>
    <sheet name="June" sheetId="20" r:id="rId6"/>
    <sheet name="July" sheetId="21" r:id="rId7"/>
    <sheet name="August" sheetId="22" r:id="rId8"/>
    <sheet name="September" sheetId="23" r:id="rId9"/>
    <sheet name="October" sheetId="24" r:id="rId10"/>
    <sheet name="November" sheetId="25" r:id="rId11"/>
    <sheet name="December" sheetId="15" state="hidden" r:id="rId12"/>
    <sheet name="Jan" sheetId="26" r:id="rId13"/>
    <sheet name="Employee names" sheetId="16" r:id="rId14"/>
    <sheet name="Sheet1" sheetId="27" r:id="rId15"/>
  </sheets>
  <definedNames>
    <definedName name="CalendarYear">January!$AH$6</definedName>
    <definedName name="ColumnTitle13">EmployeeName[[#Headers],[Employee Names]]</definedName>
    <definedName name="Employee_Absence_Title">January!$B$1</definedName>
    <definedName name="Key_name">January!$B$4</definedName>
    <definedName name="KeyCustom1">January!$N$4</definedName>
    <definedName name="KeyCustom1Label">January!$O$4</definedName>
    <definedName name="KeyCustom2">January!$R$4</definedName>
    <definedName name="KeyCustom2Label">January!$S$4</definedName>
    <definedName name="KeyPersonal">January!$G$4</definedName>
    <definedName name="KeyPersonalLabel">January!$H$4</definedName>
    <definedName name="KeySick">January!$K$4</definedName>
    <definedName name="KeySickLabel">January!$L$4</definedName>
    <definedName name="KeyVacation">January!$C$4</definedName>
    <definedName name="KeyVacationLabel">January!$D$4</definedName>
    <definedName name="MonthName" localSheetId="3">April!$B$7</definedName>
    <definedName name="MonthName" localSheetId="7">August!$B$2</definedName>
    <definedName name="MonthName" localSheetId="11">December!$B$2</definedName>
    <definedName name="MonthName" localSheetId="1">February!$B$2</definedName>
    <definedName name="MonthName" localSheetId="12">Jan!$C$2</definedName>
    <definedName name="MonthName" localSheetId="0">January!$B$2</definedName>
    <definedName name="MonthName" localSheetId="6">July!$B$2</definedName>
    <definedName name="MonthName" localSheetId="5">June!$B$2</definedName>
    <definedName name="MonthName" localSheetId="2">March!$B$2</definedName>
    <definedName name="MonthName" localSheetId="4">May!$B$4</definedName>
    <definedName name="MonthName" localSheetId="10">November!$C$2</definedName>
    <definedName name="MonthName" localSheetId="9">October!$C$2</definedName>
    <definedName name="MonthName" localSheetId="8">September!$B$2</definedName>
    <definedName name="_xlnm.Print_Area" localSheetId="13">'Employee names'!$A$1:$Q$24</definedName>
    <definedName name="_xlnm.Print_Area" localSheetId="12">Jan!$AL$8:$AT$32</definedName>
    <definedName name="_xlnm.Print_Area" localSheetId="10">November!$A$27:$AI$37</definedName>
    <definedName name="_xlnm.Print_Titles" localSheetId="3">April!$7:$9</definedName>
    <definedName name="_xlnm.Print_Titles" localSheetId="7">August!$6:$8</definedName>
    <definedName name="_xlnm.Print_Titles" localSheetId="11">December!$6:$8</definedName>
    <definedName name="_xlnm.Print_Titles" localSheetId="1">February!$6:$8</definedName>
    <definedName name="_xlnm.Print_Titles" localSheetId="0">January!$6:$8</definedName>
    <definedName name="_xlnm.Print_Titles" localSheetId="6">July!$7:$8</definedName>
    <definedName name="_xlnm.Print_Titles" localSheetId="5">June!$6:$8</definedName>
    <definedName name="_xlnm.Print_Titles" localSheetId="2">March!$6:$8</definedName>
    <definedName name="_xlnm.Print_Titles" localSheetId="4">May!$4:$6</definedName>
    <definedName name="_xlnm.Print_Titles" localSheetId="10">November!$6:$8</definedName>
    <definedName name="_xlnm.Print_Titles" localSheetId="9">October!$6:$8</definedName>
    <definedName name="_xlnm.Print_Titles" localSheetId="8">September!$6:$8</definedName>
    <definedName name="Title1">January[[#Headers],[Employee name]]</definedName>
    <definedName name="Title10">October[[#Headers],[Employee name]]</definedName>
    <definedName name="Title11">November[[#Headers],[Employee name]]</definedName>
    <definedName name="Title12">December[[#Headers],[Employee name]]</definedName>
    <definedName name="Title2">February[[#Headers],[Employee name]]</definedName>
    <definedName name="Title3">March[[#Headers],[Employee name]]</definedName>
    <definedName name="Title4">#REF!</definedName>
    <definedName name="Title5">#REF!</definedName>
    <definedName name="Title6">June[[#Headers],[Employee name]]</definedName>
    <definedName name="Title7">July[[#Headers],[Employee name]]</definedName>
    <definedName name="Title8">August[[#Headers],[Employee name]]</definedName>
    <definedName name="Title9">September[[#Headers],[Employee name]]</definedName>
  </definedNames>
  <calcPr calcId="162913"/>
</workbook>
</file>

<file path=xl/calcChain.xml><?xml version="1.0" encoding="utf-8"?>
<calcChain xmlns="http://schemas.openxmlformats.org/spreadsheetml/2006/main">
  <c r="AL22" i="26" l="1"/>
  <c r="U38" i="26"/>
  <c r="U37" i="26"/>
  <c r="AA37" i="26"/>
  <c r="AQ18" i="26" s="1"/>
  <c r="I37" i="26"/>
  <c r="AI22" i="26" l="1"/>
  <c r="AO22" i="26" s="1"/>
  <c r="D16" i="16"/>
  <c r="AL13" i="26" l="1"/>
  <c r="AL9" i="26"/>
  <c r="AX17" i="26"/>
  <c r="AW17" i="26"/>
  <c r="I38" i="26" s="1"/>
  <c r="I34" i="26"/>
  <c r="AX14" i="26"/>
  <c r="U34" i="26" s="1"/>
  <c r="AX15" i="26"/>
  <c r="U35" i="26" s="1"/>
  <c r="AX16" i="26"/>
  <c r="AX13" i="26"/>
  <c r="AW14" i="26"/>
  <c r="AW15" i="26"/>
  <c r="I36" i="26" s="1"/>
  <c r="AW16" i="26"/>
  <c r="AW13" i="26"/>
  <c r="BB13" i="26"/>
  <c r="BB14" i="26"/>
  <c r="U40" i="26" s="1"/>
  <c r="BB15" i="26"/>
  <c r="U39" i="26" s="1"/>
  <c r="BA13" i="26"/>
  <c r="BA14" i="26"/>
  <c r="I41" i="26" s="1"/>
  <c r="BA15" i="26"/>
  <c r="I39" i="26" s="1"/>
  <c r="AL28" i="26"/>
  <c r="D15" i="16"/>
  <c r="AI20" i="26"/>
  <c r="I40" i="26" l="1"/>
  <c r="AA40" i="26"/>
  <c r="AQ24" i="26" s="1"/>
  <c r="AA38" i="26"/>
  <c r="AQ20" i="26" s="1"/>
  <c r="AL20" i="26" s="1"/>
  <c r="I35" i="26"/>
  <c r="AA35" i="26" s="1"/>
  <c r="AQ17" i="26" s="1"/>
  <c r="U36" i="26"/>
  <c r="AA36" i="26" s="1"/>
  <c r="AQ19" i="26" s="1"/>
  <c r="U41" i="26"/>
  <c r="AA41" i="26" s="1"/>
  <c r="AQ15" i="26" s="1"/>
  <c r="AA39" i="26"/>
  <c r="AQ14" i="26" s="1"/>
  <c r="AI12" i="26"/>
  <c r="AI19" i="26"/>
  <c r="AO19" i="26" s="1"/>
  <c r="AL19" i="26" s="1"/>
  <c r="D13" i="16"/>
  <c r="D23" i="27"/>
  <c r="D22" i="27"/>
  <c r="D21" i="27"/>
  <c r="D20" i="27"/>
  <c r="D19" i="27"/>
  <c r="D18" i="27"/>
  <c r="D17" i="27"/>
  <c r="D16" i="27"/>
  <c r="D15" i="27"/>
  <c r="D14" i="27"/>
  <c r="D13" i="27"/>
  <c r="D12" i="27"/>
  <c r="D11" i="27"/>
  <c r="D10" i="27"/>
  <c r="D9" i="27"/>
  <c r="D8" i="27"/>
  <c r="D7" i="27"/>
  <c r="D6" i="27"/>
  <c r="D5" i="27"/>
  <c r="D24" i="27" s="1"/>
  <c r="K4" i="27"/>
  <c r="J4" i="27"/>
  <c r="H2" i="27" s="1"/>
  <c r="D14" i="16"/>
  <c r="D23" i="16" l="1"/>
  <c r="U33" i="25" l="1"/>
  <c r="U31" i="25"/>
  <c r="U30" i="25"/>
  <c r="U32" i="25"/>
  <c r="C29" i="26" l="1"/>
  <c r="AA34" i="26"/>
  <c r="I33" i="26"/>
  <c r="AA33" i="26" s="1"/>
  <c r="AS29" i="26"/>
  <c r="AR29" i="26"/>
  <c r="AP29" i="26"/>
  <c r="AM29" i="26"/>
  <c r="AH29" i="26"/>
  <c r="AG29" i="26"/>
  <c r="AF29" i="26"/>
  <c r="AE29" i="26"/>
  <c r="AD29" i="26"/>
  <c r="AC29" i="26"/>
  <c r="AB29" i="26"/>
  <c r="AA29" i="26"/>
  <c r="Z29" i="26"/>
  <c r="Y29" i="26"/>
  <c r="X29" i="26"/>
  <c r="W29" i="26"/>
  <c r="V29" i="26"/>
  <c r="U29" i="26"/>
  <c r="T29" i="26"/>
  <c r="S29" i="26"/>
  <c r="R29" i="26"/>
  <c r="Q29" i="26"/>
  <c r="P29" i="26"/>
  <c r="O29" i="26"/>
  <c r="N29" i="26"/>
  <c r="M29" i="26"/>
  <c r="L29" i="26"/>
  <c r="K29" i="26"/>
  <c r="J29" i="26"/>
  <c r="I29" i="26"/>
  <c r="H29" i="26"/>
  <c r="G29" i="26"/>
  <c r="F29" i="26"/>
  <c r="E29" i="26"/>
  <c r="D29" i="26"/>
  <c r="AI28" i="26"/>
  <c r="AI27" i="26"/>
  <c r="AO27" i="26" s="1"/>
  <c r="AI26" i="26"/>
  <c r="AI25" i="26"/>
  <c r="AO25" i="26" s="1"/>
  <c r="AI24" i="26"/>
  <c r="AO24" i="26" s="1"/>
  <c r="AL24" i="26" s="1"/>
  <c r="AI23" i="26"/>
  <c r="AI21" i="26"/>
  <c r="AO21" i="26" s="1"/>
  <c r="AI18" i="26"/>
  <c r="AO18" i="26" s="1"/>
  <c r="AL18" i="26" s="1"/>
  <c r="AI17" i="26"/>
  <c r="AO17" i="26" s="1"/>
  <c r="AL17" i="26" s="1"/>
  <c r="AI16" i="26"/>
  <c r="AO16" i="26" s="1"/>
  <c r="AL16" i="26" s="1"/>
  <c r="AI15" i="26"/>
  <c r="AO15" i="26" s="1"/>
  <c r="AL15" i="26" s="1"/>
  <c r="AO14" i="26"/>
  <c r="AL14" i="26" s="1"/>
  <c r="AL29" i="26" s="1"/>
  <c r="AI14" i="26"/>
  <c r="AI13" i="26"/>
  <c r="AO11" i="26"/>
  <c r="AL11" i="26" s="1"/>
  <c r="AI11" i="26"/>
  <c r="AO10" i="26"/>
  <c r="AL10" i="26" s="1"/>
  <c r="AI10" i="26"/>
  <c r="AI9" i="26"/>
  <c r="AD5" i="26"/>
  <c r="AQ16" i="26" l="1"/>
  <c r="AQ29" i="26" s="1"/>
  <c r="AA42" i="26"/>
  <c r="AL27" i="26"/>
  <c r="AI29" i="26"/>
  <c r="AO23" i="26"/>
  <c r="AO26" i="26"/>
  <c r="U5" i="26"/>
  <c r="AL23" i="26" l="1"/>
  <c r="AL25" i="26"/>
  <c r="AL26" i="26"/>
  <c r="AL21" i="26"/>
  <c r="AQ23" i="25" l="1"/>
  <c r="AQ22" i="25"/>
  <c r="AQ21" i="25"/>
  <c r="AQ19" i="25"/>
  <c r="AQ18" i="25"/>
  <c r="AQ17" i="25"/>
  <c r="AQ16" i="25"/>
  <c r="AQ15" i="25"/>
  <c r="I33" i="25"/>
  <c r="AM31" i="25"/>
  <c r="U37" i="25"/>
  <c r="U36" i="25"/>
  <c r="U35" i="25"/>
  <c r="U34" i="25"/>
  <c r="AA32" i="25"/>
  <c r="I37" i="25"/>
  <c r="I36" i="25"/>
  <c r="AA36" i="25" s="1"/>
  <c r="I35" i="25"/>
  <c r="I34" i="25"/>
  <c r="I32" i="25"/>
  <c r="I31" i="25"/>
  <c r="I30" i="25"/>
  <c r="AO32" i="25"/>
  <c r="AO33" i="25"/>
  <c r="AM32" i="25"/>
  <c r="AM33" i="25"/>
  <c r="AA31" i="25" s="1"/>
  <c r="AA37" i="25"/>
  <c r="AO37" i="25"/>
  <c r="AM37" i="25"/>
  <c r="AO36" i="25"/>
  <c r="AM36" i="25"/>
  <c r="AA33" i="25" s="1"/>
  <c r="AA30" i="25"/>
  <c r="AO31" i="25"/>
  <c r="AA35" i="25"/>
  <c r="AA34" i="25" l="1"/>
  <c r="I29" i="25"/>
  <c r="AA29" i="25" s="1"/>
  <c r="AP25" i="25"/>
  <c r="AN12" i="24"/>
  <c r="AO13" i="25"/>
  <c r="AL24" i="25"/>
  <c r="AO10" i="25"/>
  <c r="AL10" i="25"/>
  <c r="AL12" i="25"/>
  <c r="AL13" i="25"/>
  <c r="AL9" i="25"/>
  <c r="AI20" i="25"/>
  <c r="AI21" i="25"/>
  <c r="AI22" i="25"/>
  <c r="AO22" i="25" l="1"/>
  <c r="AN22" i="25"/>
  <c r="AL22" i="25" s="1"/>
  <c r="AO20" i="25"/>
  <c r="AN20" i="25"/>
  <c r="AL20" i="25" s="1"/>
  <c r="AO21" i="25"/>
  <c r="AN21" i="25"/>
  <c r="AL21" i="25" s="1"/>
  <c r="AL16" i="24"/>
  <c r="D22" i="16" l="1"/>
  <c r="D21" i="16"/>
  <c r="D20" i="16"/>
  <c r="D19" i="16"/>
  <c r="D18" i="16"/>
  <c r="D17" i="16"/>
  <c r="D12" i="16"/>
  <c r="D11" i="16"/>
  <c r="D10" i="16"/>
  <c r="D9" i="16"/>
  <c r="D8" i="16"/>
  <c r="D7" i="16"/>
  <c r="D6" i="16"/>
  <c r="D5" i="16"/>
  <c r="K4" i="16"/>
  <c r="D24" i="16" l="1"/>
  <c r="AI19" i="25"/>
  <c r="AI9" i="25"/>
  <c r="U5" i="25" s="1"/>
  <c r="AD5" i="25"/>
  <c r="AS25" i="25"/>
  <c r="AR25" i="25"/>
  <c r="AM25" i="25"/>
  <c r="AO11" i="25"/>
  <c r="AL11" i="25" s="1"/>
  <c r="AI14" i="25"/>
  <c r="AI15" i="25"/>
  <c r="AO15" i="25" s="1"/>
  <c r="AL15" i="25" s="1"/>
  <c r="AI16" i="25"/>
  <c r="AI17" i="25"/>
  <c r="AO17" i="25" s="1"/>
  <c r="AL17" i="25" s="1"/>
  <c r="AI18" i="25"/>
  <c r="AI23" i="25"/>
  <c r="AI24" i="25"/>
  <c r="AC25" i="25"/>
  <c r="AB25" i="25"/>
  <c r="V25" i="25"/>
  <c r="U25" i="25"/>
  <c r="T25" i="25"/>
  <c r="N25" i="25"/>
  <c r="M25" i="25"/>
  <c r="L25" i="25"/>
  <c r="F25" i="25"/>
  <c r="E25" i="25"/>
  <c r="D25" i="25"/>
  <c r="G25" i="25"/>
  <c r="AI10" i="25"/>
  <c r="AI11" i="25"/>
  <c r="AI12" i="25"/>
  <c r="AI13" i="25"/>
  <c r="C25" i="25"/>
  <c r="H25" i="25"/>
  <c r="I25" i="25"/>
  <c r="J25" i="25"/>
  <c r="K25" i="25"/>
  <c r="O25" i="25"/>
  <c r="P25" i="25"/>
  <c r="Q25" i="25"/>
  <c r="R25" i="25"/>
  <c r="S25" i="25"/>
  <c r="W25" i="25"/>
  <c r="X25" i="25"/>
  <c r="Y25" i="25"/>
  <c r="Z25" i="25"/>
  <c r="AA25" i="25"/>
  <c r="AD25" i="25"/>
  <c r="AE25" i="25"/>
  <c r="AF25" i="25"/>
  <c r="AG25" i="25"/>
  <c r="AH25" i="25"/>
  <c r="AM22" i="24"/>
  <c r="AN22" i="24"/>
  <c r="AO22" i="24"/>
  <c r="AP22" i="24"/>
  <c r="AQ22" i="24"/>
  <c r="AL21" i="24"/>
  <c r="AN11" i="24"/>
  <c r="AN13" i="24"/>
  <c r="AN14" i="24"/>
  <c r="AN15" i="24"/>
  <c r="AN16" i="24"/>
  <c r="AN17" i="24"/>
  <c r="AN18" i="24"/>
  <c r="AN19" i="24"/>
  <c r="AN20" i="24"/>
  <c r="AN21" i="24"/>
  <c r="AN10" i="24"/>
  <c r="AN9" i="24"/>
  <c r="AL20" i="24"/>
  <c r="AO23" i="25" l="1"/>
  <c r="AN23" i="25"/>
  <c r="AL23" i="25" s="1"/>
  <c r="AO19" i="25"/>
  <c r="AN19" i="25"/>
  <c r="AL19" i="25" s="1"/>
  <c r="AO18" i="25"/>
  <c r="AN18" i="25"/>
  <c r="AL18" i="25" s="1"/>
  <c r="AO16" i="25"/>
  <c r="AN16" i="25"/>
  <c r="AL16" i="25" s="1"/>
  <c r="AO14" i="25"/>
  <c r="AN14" i="25"/>
  <c r="AL14" i="25" s="1"/>
  <c r="AL25" i="25" s="1"/>
  <c r="AI25" i="25"/>
  <c r="AL19" i="24"/>
  <c r="AL18" i="24"/>
  <c r="AL17" i="24"/>
  <c r="AI19" i="24" l="1"/>
  <c r="AI20" i="24"/>
  <c r="AI21" i="24"/>
  <c r="AI18" i="24"/>
  <c r="AP9" i="23"/>
  <c r="AC5" i="23"/>
  <c r="AP14" i="23"/>
  <c r="AP12" i="23"/>
  <c r="AP11" i="23"/>
  <c r="AP10" i="23"/>
  <c r="AP13" i="23"/>
  <c r="W5" i="23"/>
  <c r="AD5" i="24"/>
  <c r="C22" i="24"/>
  <c r="AL14" i="24" l="1"/>
  <c r="AL13" i="24"/>
  <c r="AQ10" i="23"/>
  <c r="AP10" i="22" l="1"/>
  <c r="AP12" i="22"/>
  <c r="AP14" i="22"/>
  <c r="AP13" i="22"/>
  <c r="AP11" i="22"/>
  <c r="AC5" i="22"/>
  <c r="W5" i="22"/>
  <c r="AP11" i="21" l="1"/>
  <c r="AH11" i="22"/>
  <c r="AM11" i="22" s="1"/>
  <c r="AO16" i="23" l="1"/>
  <c r="AN16" i="23"/>
  <c r="AL16" i="23"/>
  <c r="AM14" i="23"/>
  <c r="AM13" i="23"/>
  <c r="AM11" i="23"/>
  <c r="AM10" i="23"/>
  <c r="AH15" i="23"/>
  <c r="AH14" i="23"/>
  <c r="AH15" i="22"/>
  <c r="AC5" i="21"/>
  <c r="AH18" i="21"/>
  <c r="AP14" i="21"/>
  <c r="AP13" i="21"/>
  <c r="AP12" i="21"/>
  <c r="AP15" i="21"/>
  <c r="AK15" i="21" s="1"/>
  <c r="AP16" i="21"/>
  <c r="AP10" i="21"/>
  <c r="AH13" i="21"/>
  <c r="W5" i="21"/>
  <c r="AP15" i="15"/>
  <c r="AO15" i="15"/>
  <c r="AN15" i="15"/>
  <c r="AL15" i="15"/>
  <c r="AP14" i="15"/>
  <c r="AP13" i="15"/>
  <c r="AP12" i="15"/>
  <c r="AP11" i="15"/>
  <c r="AP10" i="15"/>
  <c r="AP9" i="15"/>
  <c r="AC5" i="15"/>
  <c r="AL9" i="24"/>
  <c r="AL16" i="22"/>
  <c r="AN16" i="22"/>
  <c r="AO16" i="22"/>
  <c r="AL14" i="21"/>
  <c r="AL18" i="21"/>
  <c r="AN18" i="21"/>
  <c r="AO18" i="21"/>
  <c r="AQ18" i="21"/>
  <c r="AK13" i="23" l="1"/>
  <c r="AK19" i="23" s="1"/>
  <c r="AK10" i="23"/>
  <c r="AK17" i="23" s="1"/>
  <c r="AK14" i="23"/>
  <c r="AK11" i="23"/>
  <c r="AM14" i="21"/>
  <c r="AH14" i="22"/>
  <c r="AP16" i="23" l="1"/>
  <c r="AM14" i="22"/>
  <c r="AK14" i="22" s="1"/>
  <c r="AM14" i="15"/>
  <c r="AK14" i="15" s="1"/>
  <c r="AP9" i="22"/>
  <c r="AK12" i="22"/>
  <c r="AK11" i="22"/>
  <c r="AP10" i="20"/>
  <c r="AP11" i="20"/>
  <c r="AP12" i="20"/>
  <c r="AP13" i="20"/>
  <c r="AP14" i="20"/>
  <c r="AP15" i="20"/>
  <c r="AP16" i="20"/>
  <c r="W5" i="20"/>
  <c r="AH14" i="18"/>
  <c r="AH15" i="18"/>
  <c r="AH16" i="18"/>
  <c r="AK15" i="19"/>
  <c r="AL13" i="19"/>
  <c r="AL12" i="19"/>
  <c r="AL11" i="19"/>
  <c r="AL10" i="19"/>
  <c r="AL15" i="19"/>
  <c r="AK12" i="19"/>
  <c r="AK11" i="19"/>
  <c r="AL16" i="20"/>
  <c r="AP16" i="22" l="1"/>
  <c r="AL14" i="18"/>
  <c r="AL15" i="18"/>
  <c r="AI16" i="20"/>
  <c r="AH14" i="19"/>
  <c r="AH10" i="19"/>
  <c r="AH11" i="19"/>
  <c r="AH12" i="19"/>
  <c r="AH13" i="19"/>
  <c r="AH15" i="19"/>
  <c r="AH16" i="19"/>
  <c r="AH17" i="19"/>
  <c r="AH18" i="19"/>
  <c r="AH19" i="19"/>
  <c r="AH9" i="19"/>
  <c r="AH21" i="19"/>
  <c r="AH20" i="19"/>
  <c r="AH10" i="21"/>
  <c r="AM10" i="21" s="1"/>
  <c r="AH11" i="21"/>
  <c r="AM11" i="21" s="1"/>
  <c r="AH12" i="21"/>
  <c r="AM12" i="21" s="1"/>
  <c r="AM20" i="20"/>
  <c r="J4" i="16"/>
  <c r="H2" i="16" s="1"/>
  <c r="AI17" i="20"/>
  <c r="AO17" i="18" s="1"/>
  <c r="AJ17" i="18" s="1"/>
  <c r="AI18" i="20"/>
  <c r="AL18" i="19" s="1"/>
  <c r="AI19" i="20"/>
  <c r="AL19" i="19" s="1"/>
  <c r="AI20" i="20"/>
  <c r="AO20" i="19" s="1"/>
  <c r="B21" i="20"/>
  <c r="AT15" i="19"/>
  <c r="AM17" i="20" l="1"/>
  <c r="AL20" i="19"/>
  <c r="AJ20" i="19" s="1"/>
  <c r="AL17" i="19"/>
  <c r="AO17" i="19"/>
  <c r="AO9" i="19"/>
  <c r="AO9" i="18"/>
  <c r="AO18" i="19"/>
  <c r="AJ18" i="19" s="1"/>
  <c r="AO16" i="19"/>
  <c r="AJ16" i="19" s="1"/>
  <c r="AO16" i="18"/>
  <c r="AJ16" i="18" s="1"/>
  <c r="AM19" i="20"/>
  <c r="AO19" i="19"/>
  <c r="AJ19" i="19" s="1"/>
  <c r="AM16" i="20"/>
  <c r="AM18" i="20"/>
  <c r="AJ17" i="19"/>
  <c r="AI14" i="20"/>
  <c r="AI15" i="20"/>
  <c r="AH6" i="4"/>
  <c r="AH7" i="26" l="1"/>
  <c r="AG7" i="26"/>
  <c r="AE7" i="26"/>
  <c r="AC7" i="26"/>
  <c r="AA7" i="26"/>
  <c r="Y7" i="26"/>
  <c r="W7" i="26"/>
  <c r="U7" i="26"/>
  <c r="S7" i="26"/>
  <c r="Q7" i="26"/>
  <c r="O7" i="26"/>
  <c r="M7" i="26"/>
  <c r="K7" i="26"/>
  <c r="I7" i="26"/>
  <c r="G7" i="26"/>
  <c r="E7" i="26"/>
  <c r="AF7" i="26"/>
  <c r="AD7" i="26"/>
  <c r="AB7" i="26"/>
  <c r="Z7" i="26"/>
  <c r="X7" i="26"/>
  <c r="V7" i="26"/>
  <c r="T7" i="26"/>
  <c r="R7" i="26"/>
  <c r="P7" i="26"/>
  <c r="N7" i="26"/>
  <c r="L7" i="26"/>
  <c r="J7" i="26"/>
  <c r="H7" i="26"/>
  <c r="F7" i="26"/>
  <c r="D7" i="26"/>
  <c r="AJ6" i="25"/>
  <c r="AO25" i="25" s="1"/>
  <c r="AJ6" i="26"/>
  <c r="AH6" i="15"/>
  <c r="AH6" i="23"/>
  <c r="AI6" i="24"/>
  <c r="AH6" i="22"/>
  <c r="AM15" i="20"/>
  <c r="AO15" i="18"/>
  <c r="AO15" i="19"/>
  <c r="AJ15" i="19" s="1"/>
  <c r="AO14" i="18"/>
  <c r="AO14" i="19"/>
  <c r="AJ14" i="19" s="1"/>
  <c r="AH6" i="19"/>
  <c r="AH6" i="18"/>
  <c r="AM14" i="20"/>
  <c r="AG7" i="4"/>
  <c r="AF7" i="4"/>
  <c r="AE7" i="4"/>
  <c r="AA7" i="4"/>
  <c r="Y7" i="4"/>
  <c r="V7" i="4"/>
  <c r="S7" i="4"/>
  <c r="R7" i="4"/>
  <c r="P7" i="4"/>
  <c r="M7" i="4"/>
  <c r="J7" i="4"/>
  <c r="G7" i="4"/>
  <c r="E7" i="4"/>
  <c r="N7" i="4"/>
  <c r="AD7" i="4"/>
  <c r="AC7" i="4"/>
  <c r="AB7" i="4"/>
  <c r="Z7" i="4"/>
  <c r="X7" i="4"/>
  <c r="W7" i="4"/>
  <c r="U7" i="4"/>
  <c r="T7" i="4"/>
  <c r="Q7" i="4"/>
  <c r="O7" i="4"/>
  <c r="L7" i="4"/>
  <c r="K7" i="4"/>
  <c r="H7" i="4"/>
  <c r="F7" i="4"/>
  <c r="D7" i="4"/>
  <c r="I7" i="4"/>
  <c r="C7" i="4"/>
  <c r="AG7" i="15" l="1"/>
  <c r="AF7" i="15"/>
  <c r="AE7" i="15"/>
  <c r="AD7" i="15"/>
  <c r="AC7" i="15"/>
  <c r="AB7" i="15"/>
  <c r="AA7" i="15"/>
  <c r="Z7" i="15"/>
  <c r="Y7" i="15"/>
  <c r="X7" i="15"/>
  <c r="W7" i="15"/>
  <c r="V7" i="15"/>
  <c r="U7" i="15"/>
  <c r="T7" i="15"/>
  <c r="S7" i="15"/>
  <c r="R7" i="15"/>
  <c r="Q7" i="15"/>
  <c r="P7" i="15"/>
  <c r="O7" i="15"/>
  <c r="N7" i="15"/>
  <c r="M7" i="15"/>
  <c r="L7" i="15"/>
  <c r="K7" i="15"/>
  <c r="J7" i="15"/>
  <c r="I7" i="15"/>
  <c r="H7" i="15"/>
  <c r="G7" i="15"/>
  <c r="F7" i="15"/>
  <c r="E7" i="15"/>
  <c r="D7" i="15"/>
  <c r="C7" i="15"/>
  <c r="AG7" i="25"/>
  <c r="AF7" i="25"/>
  <c r="AE7" i="25"/>
  <c r="AD7" i="25"/>
  <c r="AC7" i="25"/>
  <c r="AB7" i="25"/>
  <c r="AA7" i="25"/>
  <c r="Z7" i="25"/>
  <c r="Y7" i="25"/>
  <c r="X7" i="25"/>
  <c r="W7" i="25"/>
  <c r="V7" i="25"/>
  <c r="U7" i="25"/>
  <c r="T7" i="25"/>
  <c r="S7" i="25"/>
  <c r="R7" i="25"/>
  <c r="Q7" i="25"/>
  <c r="P7" i="25"/>
  <c r="O7" i="25"/>
  <c r="N7" i="25"/>
  <c r="M7" i="25"/>
  <c r="L7" i="25"/>
  <c r="K7" i="25"/>
  <c r="J7" i="25"/>
  <c r="I7" i="25"/>
  <c r="H7" i="25"/>
  <c r="G7" i="25"/>
  <c r="F7" i="25"/>
  <c r="E7" i="25"/>
  <c r="D7" i="25"/>
  <c r="AH7" i="24"/>
  <c r="AG7" i="24"/>
  <c r="AF7" i="24"/>
  <c r="AE7" i="24"/>
  <c r="AD7" i="24"/>
  <c r="AC7" i="24"/>
  <c r="AB7" i="24"/>
  <c r="AA7" i="24"/>
  <c r="Z7" i="24"/>
  <c r="Y7" i="24"/>
  <c r="X7" i="24"/>
  <c r="W7" i="24"/>
  <c r="V7" i="24"/>
  <c r="U7" i="24"/>
  <c r="T7" i="24"/>
  <c r="S7" i="24"/>
  <c r="R7" i="24"/>
  <c r="Q7" i="24"/>
  <c r="P7" i="24"/>
  <c r="O7" i="24"/>
  <c r="N7" i="24"/>
  <c r="M7" i="24"/>
  <c r="L7" i="24"/>
  <c r="K7" i="24"/>
  <c r="J7" i="24"/>
  <c r="I7" i="24"/>
  <c r="H7" i="24"/>
  <c r="G7" i="24"/>
  <c r="F7" i="24"/>
  <c r="E7" i="24"/>
  <c r="D7" i="24"/>
  <c r="AF7" i="23"/>
  <c r="AE7" i="23"/>
  <c r="AD7" i="23"/>
  <c r="AC7" i="23"/>
  <c r="AB7" i="23"/>
  <c r="AA7" i="23"/>
  <c r="Z7" i="23"/>
  <c r="Y7" i="23"/>
  <c r="X7" i="23"/>
  <c r="W7" i="23"/>
  <c r="V7" i="23"/>
  <c r="U7" i="23"/>
  <c r="T7" i="23"/>
  <c r="S7" i="23"/>
  <c r="R7" i="23"/>
  <c r="Q7" i="23"/>
  <c r="P7" i="23"/>
  <c r="O7" i="23"/>
  <c r="N7" i="23"/>
  <c r="M7" i="23"/>
  <c r="L7" i="23"/>
  <c r="K7" i="23"/>
  <c r="J7" i="23"/>
  <c r="I7" i="23"/>
  <c r="H7" i="23"/>
  <c r="G7" i="23"/>
  <c r="F7" i="23"/>
  <c r="E7" i="23"/>
  <c r="D7" i="23"/>
  <c r="C7" i="23"/>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AF7" i="20"/>
  <c r="AE7" i="20"/>
  <c r="AD7" i="20"/>
  <c r="AC7" i="20"/>
  <c r="AB7" i="20"/>
  <c r="AA7" i="20"/>
  <c r="Z7" i="20"/>
  <c r="Y7" i="20"/>
  <c r="X7" i="20"/>
  <c r="W7" i="20"/>
  <c r="V7" i="20"/>
  <c r="U7" i="20"/>
  <c r="T7" i="20"/>
  <c r="S7" i="20"/>
  <c r="R7" i="20"/>
  <c r="Q7" i="20"/>
  <c r="P7" i="20"/>
  <c r="O7" i="20"/>
  <c r="N7" i="20"/>
  <c r="M7" i="20"/>
  <c r="L7" i="20"/>
  <c r="K7" i="20"/>
  <c r="J7" i="20"/>
  <c r="I7" i="20"/>
  <c r="H7" i="20"/>
  <c r="G7" i="20"/>
  <c r="F7" i="20"/>
  <c r="E7" i="20"/>
  <c r="D7" i="20"/>
  <c r="C7" i="20"/>
  <c r="AG7" i="19"/>
  <c r="AF7" i="19"/>
  <c r="AE7" i="19"/>
  <c r="AD7" i="19"/>
  <c r="AC7" i="19"/>
  <c r="AB7" i="19"/>
  <c r="AA7" i="19"/>
  <c r="Z7" i="19"/>
  <c r="Y7" i="19"/>
  <c r="X7" i="19"/>
  <c r="W7" i="19"/>
  <c r="V7" i="19"/>
  <c r="U7" i="19"/>
  <c r="T7" i="19"/>
  <c r="S7" i="19"/>
  <c r="R7" i="19"/>
  <c r="Q7" i="19"/>
  <c r="P7" i="19"/>
  <c r="O7" i="19"/>
  <c r="N7" i="19"/>
  <c r="M7" i="19"/>
  <c r="L7" i="19"/>
  <c r="K7" i="19"/>
  <c r="J7" i="19"/>
  <c r="I7" i="19"/>
  <c r="H7" i="19"/>
  <c r="G7" i="19"/>
  <c r="F7" i="19"/>
  <c r="E7" i="19"/>
  <c r="D7" i="19"/>
  <c r="C7" i="19"/>
  <c r="AF7" i="18"/>
  <c r="AE7" i="18"/>
  <c r="AD7" i="18"/>
  <c r="AC7" i="18"/>
  <c r="AB7" i="18"/>
  <c r="AA7" i="18"/>
  <c r="Z7" i="18"/>
  <c r="Y7" i="18"/>
  <c r="X7" i="18"/>
  <c r="W7" i="18"/>
  <c r="V7" i="18"/>
  <c r="U7" i="18"/>
  <c r="T7" i="18"/>
  <c r="S7" i="18"/>
  <c r="R7" i="18"/>
  <c r="Q7" i="18"/>
  <c r="P7" i="18"/>
  <c r="O7" i="18"/>
  <c r="N7" i="18"/>
  <c r="M7" i="18"/>
  <c r="L7" i="18"/>
  <c r="K7" i="18"/>
  <c r="J7" i="18"/>
  <c r="I7" i="18"/>
  <c r="H7" i="18"/>
  <c r="G7" i="18"/>
  <c r="F7" i="18"/>
  <c r="E7" i="18"/>
  <c r="D7" i="18"/>
  <c r="C7" i="18"/>
  <c r="AG7" i="17"/>
  <c r="AF7" i="17"/>
  <c r="AE7" i="17"/>
  <c r="AD7" i="17"/>
  <c r="AC7" i="17"/>
  <c r="AB7" i="17"/>
  <c r="AA7" i="17"/>
  <c r="Z7" i="17"/>
  <c r="Y7" i="17"/>
  <c r="X7" i="17"/>
  <c r="W7" i="17"/>
  <c r="V7" i="17"/>
  <c r="U7" i="17"/>
  <c r="T7" i="17"/>
  <c r="S7" i="17"/>
  <c r="R7" i="17"/>
  <c r="Q7" i="17"/>
  <c r="P7" i="17"/>
  <c r="O7" i="17"/>
  <c r="N7" i="17"/>
  <c r="M7" i="17"/>
  <c r="L7" i="17"/>
  <c r="K7" i="17"/>
  <c r="J7" i="17"/>
  <c r="I7" i="17"/>
  <c r="H7" i="17"/>
  <c r="G7" i="17"/>
  <c r="F7" i="17"/>
  <c r="E7" i="17"/>
  <c r="D7" i="17"/>
  <c r="C7" i="17"/>
  <c r="AO29" i="26" l="1"/>
  <c r="AE7" i="5"/>
  <c r="AD7" i="5"/>
  <c r="AC7" i="5"/>
  <c r="AB7" i="5"/>
  <c r="AA7" i="5"/>
  <c r="Z7" i="5"/>
  <c r="Y7" i="5"/>
  <c r="X7" i="5"/>
  <c r="W7" i="5"/>
  <c r="V7" i="5"/>
  <c r="U7" i="5"/>
  <c r="T7" i="5"/>
  <c r="S7" i="5"/>
  <c r="R7" i="5"/>
  <c r="Q7" i="5"/>
  <c r="P7" i="5"/>
  <c r="O7" i="5"/>
  <c r="N7" i="5"/>
  <c r="M7" i="5"/>
  <c r="L7" i="5"/>
  <c r="K7" i="5"/>
  <c r="J7" i="5"/>
  <c r="I7" i="5"/>
  <c r="H7" i="5"/>
  <c r="G7" i="5"/>
  <c r="F7" i="5"/>
  <c r="E7" i="5"/>
  <c r="D7" i="5"/>
  <c r="C7" i="5"/>
  <c r="AH6" i="21" l="1"/>
  <c r="B20" i="19"/>
  <c r="AI6" i="20"/>
  <c r="B17" i="18"/>
  <c r="B14" i="4"/>
  <c r="AG20" i="19"/>
  <c r="AF20" i="19"/>
  <c r="AE20" i="19"/>
  <c r="AD20" i="19"/>
  <c r="AC20" i="19"/>
  <c r="AB20" i="19"/>
  <c r="AA20" i="19"/>
  <c r="Z20" i="19"/>
  <c r="Y20" i="19"/>
  <c r="X20" i="19"/>
  <c r="W20" i="19"/>
  <c r="V20" i="19"/>
  <c r="U20" i="19"/>
  <c r="T20" i="19"/>
  <c r="S20" i="19"/>
  <c r="R20" i="19"/>
  <c r="Q20" i="19"/>
  <c r="P20" i="19"/>
  <c r="O20" i="19"/>
  <c r="N20" i="19"/>
  <c r="M20" i="19"/>
  <c r="L20" i="19"/>
  <c r="K20" i="19"/>
  <c r="J20" i="19"/>
  <c r="I20" i="19"/>
  <c r="H20" i="19"/>
  <c r="G20" i="19"/>
  <c r="F20" i="19"/>
  <c r="E20" i="19"/>
  <c r="D20" i="19"/>
  <c r="C20" i="19"/>
  <c r="AS12" i="19"/>
  <c r="AT12" i="19" s="1"/>
  <c r="AS11" i="19"/>
  <c r="AT11" i="19" s="1"/>
  <c r="AG17" i="18"/>
  <c r="AF17" i="18"/>
  <c r="AE17" i="18"/>
  <c r="AD17" i="18"/>
  <c r="AC17" i="18"/>
  <c r="AB17" i="18"/>
  <c r="AA17" i="18"/>
  <c r="Z17" i="18"/>
  <c r="Y17" i="18"/>
  <c r="X17" i="18"/>
  <c r="W17" i="18"/>
  <c r="V17" i="18"/>
  <c r="U17" i="18"/>
  <c r="T17" i="18"/>
  <c r="S17" i="18"/>
  <c r="R17" i="18"/>
  <c r="Q17" i="18"/>
  <c r="P17" i="18"/>
  <c r="O17" i="18"/>
  <c r="N17" i="18"/>
  <c r="M17" i="18"/>
  <c r="L17" i="18"/>
  <c r="K17" i="18"/>
  <c r="J17" i="18"/>
  <c r="I17" i="18"/>
  <c r="H17" i="18"/>
  <c r="G17" i="18"/>
  <c r="F17" i="18"/>
  <c r="E17" i="18"/>
  <c r="D17" i="18"/>
  <c r="C17" i="18"/>
  <c r="AH13" i="18"/>
  <c r="AH12" i="18"/>
  <c r="AL12" i="18" s="1"/>
  <c r="AH11" i="18"/>
  <c r="AL11" i="18" s="1"/>
  <c r="AH10" i="18"/>
  <c r="AL10" i="18" s="1"/>
  <c r="AH9" i="18"/>
  <c r="AH6" i="17"/>
  <c r="B14" i="5"/>
  <c r="AH11" i="4"/>
  <c r="AH12" i="4"/>
  <c r="AK15" i="18" l="1"/>
  <c r="AJ15" i="18" s="1"/>
  <c r="AK14" i="18"/>
  <c r="AJ14" i="18" s="1"/>
  <c r="AK13" i="18"/>
  <c r="AL13" i="18"/>
  <c r="AT19" i="19"/>
  <c r="AH17" i="18"/>
  <c r="B16" i="23"/>
  <c r="AH22" i="24"/>
  <c r="AG22" i="24"/>
  <c r="AF22" i="24"/>
  <c r="AE22" i="24"/>
  <c r="AD22" i="24"/>
  <c r="AC22" i="24"/>
  <c r="AB22" i="24"/>
  <c r="AA22" i="24"/>
  <c r="Z22" i="24"/>
  <c r="Y22" i="24"/>
  <c r="X22" i="24"/>
  <c r="W22" i="24"/>
  <c r="V22" i="24"/>
  <c r="U22" i="24"/>
  <c r="T22" i="24"/>
  <c r="S22" i="24"/>
  <c r="R22" i="24"/>
  <c r="Q22" i="24"/>
  <c r="P22" i="24"/>
  <c r="O22" i="24"/>
  <c r="N22" i="24"/>
  <c r="M22" i="24"/>
  <c r="L22" i="24"/>
  <c r="K22" i="24"/>
  <c r="J22" i="24"/>
  <c r="I22" i="24"/>
  <c r="H22" i="24"/>
  <c r="G22" i="24"/>
  <c r="F22" i="24"/>
  <c r="E22" i="24"/>
  <c r="D22" i="24"/>
  <c r="AI15" i="24"/>
  <c r="AL15" i="24" s="1"/>
  <c r="AI12" i="24"/>
  <c r="AL12" i="24" s="1"/>
  <c r="AG16" i="23"/>
  <c r="AF16" i="23"/>
  <c r="AE16" i="23"/>
  <c r="AD16" i="23"/>
  <c r="AC16" i="23"/>
  <c r="AB16" i="23"/>
  <c r="AA16" i="23"/>
  <c r="Z16" i="23"/>
  <c r="Y16" i="23"/>
  <c r="X16" i="23"/>
  <c r="W16" i="23"/>
  <c r="V16" i="23"/>
  <c r="U16" i="23"/>
  <c r="T16" i="23"/>
  <c r="S16" i="23"/>
  <c r="R16" i="23"/>
  <c r="Q16" i="23"/>
  <c r="P16" i="23"/>
  <c r="O16" i="23"/>
  <c r="N16" i="23"/>
  <c r="M16" i="23"/>
  <c r="L16" i="23"/>
  <c r="K16" i="23"/>
  <c r="J16" i="23"/>
  <c r="I16" i="23"/>
  <c r="H16" i="23"/>
  <c r="G16" i="23"/>
  <c r="F16" i="23"/>
  <c r="E16" i="23"/>
  <c r="D16" i="23"/>
  <c r="C16" i="23"/>
  <c r="AH13" i="23"/>
  <c r="AH12" i="23"/>
  <c r="AH11" i="23"/>
  <c r="AH10" i="23"/>
  <c r="AH9" i="23"/>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AH13" i="22"/>
  <c r="AH12" i="22"/>
  <c r="AM12" i="23" s="1"/>
  <c r="AH10" i="22"/>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H17" i="21"/>
  <c r="AM17" i="21" s="1"/>
  <c r="AH16" i="21"/>
  <c r="AM16" i="21" s="1"/>
  <c r="AH15" i="21"/>
  <c r="AM15" i="21" s="1"/>
  <c r="AH14" i="21"/>
  <c r="AM13" i="21"/>
  <c r="AM18" i="21" s="1"/>
  <c r="AG21" i="20"/>
  <c r="AF21" i="20"/>
  <c r="AE21" i="20"/>
  <c r="AD21" i="20"/>
  <c r="AC21" i="20"/>
  <c r="AB21" i="20"/>
  <c r="AA21" i="20"/>
  <c r="Z21" i="20"/>
  <c r="Y21" i="20"/>
  <c r="X21" i="20"/>
  <c r="W21" i="20"/>
  <c r="V21" i="20"/>
  <c r="U21" i="20"/>
  <c r="T21" i="20"/>
  <c r="S21" i="20"/>
  <c r="R21" i="20"/>
  <c r="Q21" i="20"/>
  <c r="P21" i="20"/>
  <c r="O21" i="20"/>
  <c r="N21" i="20"/>
  <c r="M21" i="20"/>
  <c r="L21" i="20"/>
  <c r="K21" i="20"/>
  <c r="J21" i="20"/>
  <c r="I21" i="20"/>
  <c r="H21" i="20"/>
  <c r="G21" i="20"/>
  <c r="F21" i="20"/>
  <c r="E21" i="20"/>
  <c r="D21" i="20"/>
  <c r="C21" i="20"/>
  <c r="AI13" i="20"/>
  <c r="AI12" i="20"/>
  <c r="AI11" i="20"/>
  <c r="AI10" i="20"/>
  <c r="AG14" i="17"/>
  <c r="AF14" i="17"/>
  <c r="AE14" i="17"/>
  <c r="AD14" i="17"/>
  <c r="AC14" i="17"/>
  <c r="AB14" i="17"/>
  <c r="AA14" i="17"/>
  <c r="Z14" i="17"/>
  <c r="Y14" i="17"/>
  <c r="X14" i="17"/>
  <c r="W14" i="17"/>
  <c r="V14" i="17"/>
  <c r="U14" i="17"/>
  <c r="T14" i="17"/>
  <c r="S14" i="17"/>
  <c r="R14" i="17"/>
  <c r="Q14" i="17"/>
  <c r="P14" i="17"/>
  <c r="O14" i="17"/>
  <c r="N14" i="17"/>
  <c r="M14" i="17"/>
  <c r="L14" i="17"/>
  <c r="K14" i="17"/>
  <c r="J14" i="17"/>
  <c r="I14" i="17"/>
  <c r="H14" i="17"/>
  <c r="G14" i="17"/>
  <c r="F14" i="17"/>
  <c r="E14" i="17"/>
  <c r="D14" i="17"/>
  <c r="C14" i="17"/>
  <c r="B14" i="17"/>
  <c r="AH13" i="17"/>
  <c r="AH12" i="17"/>
  <c r="AH11" i="17"/>
  <c r="AH10" i="17"/>
  <c r="AH9" i="17"/>
  <c r="AK12" i="23" l="1"/>
  <c r="AM16" i="23"/>
  <c r="AL11" i="24"/>
  <c r="AM11" i="15"/>
  <c r="AK11" i="15" s="1"/>
  <c r="AM10" i="15"/>
  <c r="AK10" i="15" s="1"/>
  <c r="AL10" i="24"/>
  <c r="AM10" i="22"/>
  <c r="AK10" i="22" s="1"/>
  <c r="AM13" i="15"/>
  <c r="AK13" i="15" s="1"/>
  <c r="AM13" i="22"/>
  <c r="AK13" i="22" s="1"/>
  <c r="AM12" i="15"/>
  <c r="AM12" i="22"/>
  <c r="AO11" i="18"/>
  <c r="AJ11" i="18" s="1"/>
  <c r="AO11" i="19"/>
  <c r="AJ11" i="19" s="1"/>
  <c r="AO10" i="18"/>
  <c r="AJ10" i="18" s="1"/>
  <c r="AO10" i="19"/>
  <c r="AJ10" i="19" s="1"/>
  <c r="AM10" i="20"/>
  <c r="AH22" i="19"/>
  <c r="AO12" i="18"/>
  <c r="AJ12" i="18" s="1"/>
  <c r="AO12" i="19"/>
  <c r="AJ12" i="19" s="1"/>
  <c r="AO13" i="18"/>
  <c r="AO13" i="19"/>
  <c r="AJ13" i="19" s="1"/>
  <c r="AJ13" i="18"/>
  <c r="AM11" i="20"/>
  <c r="AM12" i="20"/>
  <c r="AM13" i="20"/>
  <c r="AH16" i="23"/>
  <c r="AH14" i="17"/>
  <c r="AH16" i="22"/>
  <c r="AI21" i="20"/>
  <c r="AC5" i="20" s="1"/>
  <c r="AI22" i="24"/>
  <c r="AL22" i="24" l="1"/>
  <c r="AK16" i="23"/>
  <c r="AK18" i="23"/>
  <c r="AM16" i="22"/>
  <c r="AK16" i="22"/>
  <c r="AK12" i="15"/>
  <c r="AK15" i="15" s="1"/>
  <c r="AM15" i="15"/>
  <c r="AP9" i="20"/>
  <c r="AJ21" i="19"/>
  <c r="AJ18" i="18"/>
  <c r="AP20" i="20"/>
  <c r="AK20" i="20" s="1"/>
  <c r="AH6" i="5"/>
  <c r="AK13" i="21" l="1"/>
  <c r="AK10" i="21"/>
  <c r="AK16" i="21"/>
  <c r="AK12" i="21"/>
  <c r="AP9" i="21"/>
  <c r="AK11" i="21"/>
  <c r="AK14" i="21"/>
  <c r="AP17" i="21"/>
  <c r="AK17" i="21" s="1"/>
  <c r="AK12" i="20"/>
  <c r="AP17" i="20"/>
  <c r="AK17" i="20" s="1"/>
  <c r="AK13" i="20"/>
  <c r="AP18" i="20"/>
  <c r="AK18" i="20" s="1"/>
  <c r="AK14" i="20"/>
  <c r="AK10" i="20"/>
  <c r="AP19" i="20"/>
  <c r="AK19" i="20" s="1"/>
  <c r="AK11" i="20"/>
  <c r="AK15" i="20"/>
  <c r="AK16" i="20"/>
  <c r="C14" i="4"/>
  <c r="D14" i="4"/>
  <c r="E14" i="4"/>
  <c r="F14" i="4"/>
  <c r="G14" i="4"/>
  <c r="H14" i="4"/>
  <c r="I14" i="4"/>
  <c r="J14" i="4"/>
  <c r="K14" i="4"/>
  <c r="L14" i="4"/>
  <c r="M14" i="4"/>
  <c r="N14" i="4"/>
  <c r="O14" i="4"/>
  <c r="P14" i="4"/>
  <c r="Q14" i="4"/>
  <c r="R14" i="4"/>
  <c r="S14" i="4"/>
  <c r="T14" i="4"/>
  <c r="U14" i="4"/>
  <c r="V14" i="4"/>
  <c r="W14" i="4"/>
  <c r="X14" i="4"/>
  <c r="Y14" i="4"/>
  <c r="Z14" i="4"/>
  <c r="AA14" i="4"/>
  <c r="AB14" i="4"/>
  <c r="AC14" i="4"/>
  <c r="AD14" i="4"/>
  <c r="AE14" i="4"/>
  <c r="AF14" i="4"/>
  <c r="AG14" i="4"/>
  <c r="AP18" i="21" l="1"/>
  <c r="AK18" i="21"/>
  <c r="AK21" i="20"/>
  <c r="AG14" i="15"/>
  <c r="AF14" i="15"/>
  <c r="AH9" i="15"/>
  <c r="AH10" i="15"/>
  <c r="AH11" i="15"/>
  <c r="AH12" i="15"/>
  <c r="AH13" i="15"/>
  <c r="AH14" i="15" l="1"/>
  <c r="C14" i="15"/>
  <c r="D14" i="15"/>
  <c r="E14" i="15"/>
  <c r="F14" i="15"/>
  <c r="G14" i="15"/>
  <c r="H14" i="15"/>
  <c r="I14" i="15"/>
  <c r="J14" i="15"/>
  <c r="K14" i="15"/>
  <c r="L14" i="15"/>
  <c r="M14" i="15"/>
  <c r="N14" i="15"/>
  <c r="O14" i="15"/>
  <c r="P14" i="15"/>
  <c r="Q14" i="15"/>
  <c r="R14" i="15"/>
  <c r="S14" i="15"/>
  <c r="T14" i="15"/>
  <c r="U14" i="15"/>
  <c r="V14" i="15"/>
  <c r="W14" i="15"/>
  <c r="X14" i="15"/>
  <c r="Y14" i="15"/>
  <c r="Z14" i="15"/>
  <c r="AA14" i="15"/>
  <c r="AB14" i="15"/>
  <c r="AC14" i="15"/>
  <c r="AD14" i="15"/>
  <c r="AE14" i="15"/>
  <c r="B14" i="15" l="1"/>
  <c r="AH13" i="5" l="1"/>
  <c r="AH12" i="5"/>
  <c r="AH11" i="5"/>
  <c r="AH13" i="4"/>
  <c r="AE14" i="5"/>
  <c r="AD14" i="5"/>
  <c r="AC14" i="5"/>
  <c r="AB14" i="5"/>
  <c r="AA14" i="5"/>
  <c r="Z14" i="5"/>
  <c r="Y14" i="5"/>
  <c r="X14" i="5"/>
  <c r="W14" i="5"/>
  <c r="V14" i="5"/>
  <c r="U14" i="5"/>
  <c r="T14" i="5"/>
  <c r="S14" i="5"/>
  <c r="R14" i="5"/>
  <c r="Q14" i="5"/>
  <c r="P14" i="5"/>
  <c r="O14" i="5"/>
  <c r="N14" i="5"/>
  <c r="M14" i="5"/>
  <c r="L14" i="5"/>
  <c r="K14" i="5"/>
  <c r="J14" i="5"/>
  <c r="I14" i="5"/>
  <c r="H14" i="5"/>
  <c r="G14" i="5"/>
  <c r="F14" i="5"/>
  <c r="E14" i="5"/>
  <c r="D14" i="5"/>
  <c r="C14" i="5"/>
  <c r="AH10" i="5"/>
  <c r="AH9" i="5"/>
  <c r="AH14" i="5" l="1"/>
  <c r="AH9" i="4"/>
  <c r="AH10" i="4"/>
  <c r="AH14" i="4" l="1"/>
</calcChain>
</file>

<file path=xl/sharedStrings.xml><?xml version="1.0" encoding="utf-8"?>
<sst xmlns="http://schemas.openxmlformats.org/spreadsheetml/2006/main" count="2728" uniqueCount="210">
  <si>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</si>
  <si>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</si>
  <si>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</si>
  <si>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</si>
  <si>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</si>
  <si>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</si>
  <si>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</si>
  <si>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</si>
  <si>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</si>
  <si>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</si>
  <si>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</si>
  <si>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</si>
  <si>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</si>
  <si>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</si>
  <si>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</si>
  <si>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</si>
  <si>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</si>
  <si>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</si>
  <si>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</si>
  <si>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</si>
  <si>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</si>
  <si>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</si>
  <si>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</si>
  <si>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</si>
  <si>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</si>
  <si>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</si>
  <si>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</si>
  <si>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</si>
  <si>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</si>
  <si>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</si>
  <si>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</si>
  <si>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S</t>
  </si>
  <si>
    <t>V</t>
  </si>
  <si>
    <t xml:space="preserve"> </t>
  </si>
  <si>
    <t xml:space="preserve">  </t>
  </si>
  <si>
    <t>P</t>
  </si>
  <si>
    <t>January</t>
  </si>
  <si>
    <t>Vacation</t>
  </si>
  <si>
    <t>Personal</t>
  </si>
  <si>
    <t>Sick</t>
  </si>
  <si>
    <t>Custom 1</t>
  </si>
  <si>
    <t>Custom 2</t>
  </si>
  <si>
    <t>February</t>
  </si>
  <si>
    <t>March</t>
  </si>
  <si>
    <t>April</t>
  </si>
  <si>
    <t>May</t>
  </si>
  <si>
    <t>July</t>
  </si>
  <si>
    <t>August</t>
  </si>
  <si>
    <t>September</t>
  </si>
  <si>
    <t>October</t>
  </si>
  <si>
    <t>November</t>
  </si>
  <si>
    <t>December</t>
  </si>
  <si>
    <t>Employee Names</t>
  </si>
  <si>
    <t>Employee absence schedule</t>
  </si>
  <si>
    <t>Absence type key</t>
  </si>
  <si>
    <t>Dates of absence</t>
  </si>
  <si>
    <t>Harsimran Brar</t>
  </si>
  <si>
    <t>Jordan Mitchell</t>
  </si>
  <si>
    <t>Asaf Karten</t>
  </si>
  <si>
    <t>Vanja Jovanovic</t>
  </si>
  <si>
    <t>Madison Butler</t>
  </si>
  <si>
    <t>Employee name</t>
  </si>
  <si>
    <t>Total days</t>
  </si>
  <si>
    <t>Employee names</t>
  </si>
  <si>
    <t>Mss. Sunan</t>
  </si>
  <si>
    <t>Mr. Tusackda</t>
  </si>
  <si>
    <t>Mss. Tor</t>
  </si>
  <si>
    <t>Mr. Add</t>
  </si>
  <si>
    <t>Mr. Vone</t>
  </si>
  <si>
    <t>Mr. Tay</t>
  </si>
  <si>
    <t>Mr. Dong</t>
  </si>
  <si>
    <t>Mr. Somphone</t>
  </si>
  <si>
    <t>√</t>
  </si>
  <si>
    <t>Annual leave</t>
  </si>
  <si>
    <t>A</t>
  </si>
  <si>
    <t>Sick  leave</t>
  </si>
  <si>
    <t>Salary</t>
  </si>
  <si>
    <t>Meal</t>
  </si>
  <si>
    <t>Phone</t>
  </si>
  <si>
    <t>Column1</t>
  </si>
  <si>
    <t>Working Day</t>
  </si>
  <si>
    <t>OT</t>
  </si>
  <si>
    <t>Commission in May</t>
  </si>
  <si>
    <t>Payment</t>
  </si>
  <si>
    <t>Total day</t>
  </si>
  <si>
    <t>Commission</t>
  </si>
  <si>
    <t>Amount Commission, LAK</t>
  </si>
  <si>
    <t>Amount in month</t>
  </si>
  <si>
    <t>Amount Commission/day</t>
  </si>
  <si>
    <t>Meal/day</t>
  </si>
  <si>
    <t>OT, day</t>
  </si>
  <si>
    <t>Mr.Berd</t>
  </si>
  <si>
    <t>Advance Payment</t>
  </si>
  <si>
    <t>ວ0</t>
  </si>
  <si>
    <t>Ms. Som</t>
  </si>
  <si>
    <t>Ms. Kung</t>
  </si>
  <si>
    <t>Mr. SengAloun</t>
  </si>
  <si>
    <t>Mr. Khampanh</t>
  </si>
  <si>
    <t>Mr. Khounthai</t>
  </si>
  <si>
    <t>incentive</t>
  </si>
  <si>
    <t>Advance</t>
  </si>
  <si>
    <t>Date</t>
  </si>
  <si>
    <t>incentive:</t>
  </si>
  <si>
    <t>ແຮງຈູງໃຈແມ່ນບາງສິ່ງບາງຢ່າງທີ່ກະຕຸ້ນໃຫ້ທ່ານປະຕິບັດຫຼືເຮັດວຽກຫນັກ.</t>
  </si>
  <si>
    <t>1. Personalized gifts
The most encouraging rewards are ones tailored to an individual and their interests. By creating personalized gifts, organizations make employees feel special. Personal sales incentives include gift cards that align with a recipient’s hobbies, personalized office accessories or mementos, and recognition awards engraved with details of the honoree’s achievement.</t>
  </si>
  <si>
    <t>2. Professional development
Professional development is an extremely important asset that job seekers and staff members look for. When made into sales incentives, development opportunities can be created for individuals or teams. For instance, top-performing salespeople can attend a seminar, conference, or classes. Also, high achievers can be granted membership to elite groups dedicated to different fields or industries.</t>
  </si>
  <si>
    <t>3. Office gadgets
Whether used to ramp up corporate or home offices, tech gadgets and other tools can help improve employee productivity. These items make great sales incentives because they offer staff many benefits. From making team members more comfortable to helping them stay organized, these gadgets help individuals and the whole organization. Examples include a standing desk, headphones, and personalized paper weights.</t>
  </si>
  <si>
    <t>4. Event tickets
Tickets to special events are exciting for competitive employees. Whether a once-in-a-lifetime occasion or a fun night on the town, unique events inspire staff to work harder. For instance, a business can give tickets to concerts, sporting events, fundraisers, award shows, cooking classes, and more.</t>
  </si>
  <si>
    <t>5. Company benefits
In the eyes of staff members, company benefits are highly valuable. Many employees would become more engaged and productive if given the chance to earn added paid time off or a VIP parking spot. Other sought-after benefits include discounts and retirement plans.</t>
  </si>
  <si>
    <t>6. Cash incentives
Cash incentives offer a straightforward, quantifiable reward that directly impacts an employee’s income. They are typically given in the form of commissions, bonuses, or profit-sharing, enabling salespeople to earn more by selling more. Cash rewards as a sales incentive provides immediate gratification, which can be a strong driver or short-term sales boosts.</t>
  </si>
  <si>
    <t>7. Flexible work arrangements
Flexible work arrangements are becoming an increasingly attractive sales incentive, recognizing the diverse needs and employees’ personal work-life balance preferences. Such arrangements can include options like flexible work hours, compressed workweeks or working from home, encouraging a better work-life balance. This modern approach to structuring work can lead to heightened job satisfaction, lower stress levels, and increased loyalty to the company.</t>
  </si>
  <si>
    <t>Holiday</t>
  </si>
  <si>
    <t>Absent without reason</t>
  </si>
  <si>
    <t>Advance 19.09.2025</t>
  </si>
  <si>
    <t>Advance 25.09.2025</t>
  </si>
  <si>
    <t>No</t>
  </si>
  <si>
    <t>Mr. SOMPHONE XAYASA</t>
  </si>
  <si>
    <t>MISS. SOUKSAKHONE CHONPATHOUMA</t>
  </si>
  <si>
    <t>Mr. KHAMLAR CHITTAMANY</t>
  </si>
  <si>
    <t>Mr. SIVONE MANACHACK</t>
  </si>
  <si>
    <t>Mr. VONGSAVATH VONGPASEUTH</t>
  </si>
  <si>
    <t xml:space="preserve">Mss. CHAMPA LUANGAPHAI </t>
  </si>
  <si>
    <t>Mss. TOR</t>
  </si>
  <si>
    <t>Mr. TUSACKDA XAYASA</t>
  </si>
  <si>
    <t>MS. OULAYVANH NGAVINAM</t>
  </si>
  <si>
    <t>NO</t>
  </si>
  <si>
    <t>Merchandiser</t>
  </si>
  <si>
    <t>CEO</t>
  </si>
  <si>
    <t>CONS</t>
  </si>
  <si>
    <t>ASS</t>
  </si>
  <si>
    <t>ACC</t>
  </si>
  <si>
    <t>DRIVER</t>
  </si>
  <si>
    <t>TECH</t>
  </si>
  <si>
    <t>HK</t>
  </si>
  <si>
    <t>CFO</t>
  </si>
  <si>
    <t>CHR</t>
  </si>
  <si>
    <t>Sum</t>
  </si>
  <si>
    <t>Mr.KHANKHAM MARAVONG (Kol)</t>
  </si>
  <si>
    <t>010120000300443 001</t>
  </si>
  <si>
    <t>KHANKHAM MALAVONG MR</t>
  </si>
  <si>
    <t>BCEL</t>
  </si>
  <si>
    <t>Account Name</t>
  </si>
  <si>
    <t>098120002000662 001</t>
  </si>
  <si>
    <t>VILAYPHONE VONGPHUKDEE MS</t>
  </si>
  <si>
    <t>Mr. SOUKSAVANH PHANNIVONGSOR (Thop)</t>
  </si>
  <si>
    <t>222120001754213 001</t>
  </si>
  <si>
    <t>SOUKSAVANH PHANNIVONGSOR MR</t>
  </si>
  <si>
    <t>Mr. KITTIPHONG SEESOULASACK (beer)</t>
  </si>
  <si>
    <t>Mr. THAVONE CHANTHY (Add)</t>
  </si>
  <si>
    <t>2221241426 220</t>
  </si>
  <si>
    <t>THAVONE CHANTHY MR</t>
  </si>
  <si>
    <t>PHOUTTHASONE SILIPANYA MR</t>
  </si>
  <si>
    <t>1501234315 049</t>
  </si>
  <si>
    <t>Mr. PHOUTTHASONE SILIPANYA (Too)</t>
  </si>
  <si>
    <t>Mr.  SOMPHONE KEOPHILAVANH (Olay)</t>
  </si>
  <si>
    <t>2221241489 533</t>
  </si>
  <si>
    <t>SOMPHONE KEOPHILAVANH MR</t>
  </si>
  <si>
    <t>OULAIVANH NGAVINAM MS</t>
  </si>
  <si>
    <t>010120001634623 001</t>
  </si>
  <si>
    <t>SIVONE MANACHACK MR</t>
  </si>
  <si>
    <t>160120000031308 001</t>
  </si>
  <si>
    <t>KHAMLAR CHITTAMANY MR</t>
  </si>
  <si>
    <t>010120000147973 001</t>
  </si>
  <si>
    <t>SOUKSAKHONE CHONPATHOUMA MS</t>
  </si>
  <si>
    <t>010120000323774 001</t>
  </si>
  <si>
    <t>SOMPHONE XAYASA MR</t>
  </si>
  <si>
    <t>Cash</t>
  </si>
  <si>
    <t>112120000447687 001</t>
  </si>
  <si>
    <t>SUKAN MUENXAYYAPHOM MR</t>
  </si>
  <si>
    <t>Mr. SUKAN MUENXAYYAPHOM (Yao)</t>
  </si>
  <si>
    <t>Mr. TUSACKDA XAYASA (Tu)</t>
  </si>
  <si>
    <t>Mr. SIVONE MANACHACK (Vone)</t>
  </si>
  <si>
    <t xml:space="preserve">MS. VILAYPHONE VONGPHACKDE </t>
  </si>
  <si>
    <t>Mss. SIRIPHUN KHOUNHAVONG (Tor)</t>
  </si>
  <si>
    <t>Day start work</t>
  </si>
  <si>
    <t>ເສົາ</t>
  </si>
  <si>
    <t>ອາທິດ</t>
  </si>
  <si>
    <t>OT 22ວັນ</t>
  </si>
  <si>
    <t>OT 26ວັນ</t>
  </si>
  <si>
    <t>List name of OT</t>
  </si>
  <si>
    <t>Normal OT day</t>
  </si>
  <si>
    <t>Total</t>
  </si>
  <si>
    <t>Notation</t>
  </si>
  <si>
    <t>OT holiday (Sunday)</t>
  </si>
  <si>
    <t>Real working day</t>
  </si>
  <si>
    <t xml:space="preserve">   </t>
  </si>
  <si>
    <t>MRS. DET THESAVONG</t>
  </si>
  <si>
    <t>ອອກແລ້ວ</t>
  </si>
  <si>
    <t>DET THESAVONG MRS</t>
  </si>
  <si>
    <t>010120000270485 001</t>
  </si>
  <si>
    <t>a</t>
  </si>
  <si>
    <t>Absent of work</t>
  </si>
  <si>
    <t>Mr. NOK</t>
  </si>
  <si>
    <t>Mr. LOIY</t>
  </si>
  <si>
    <t>MD</t>
  </si>
  <si>
    <t>Mr. SONEPHET VIPHOMMA</t>
  </si>
  <si>
    <t>221 12 09696743</t>
  </si>
  <si>
    <t>SONEPHET VIPHOMMA MR</t>
  </si>
  <si>
    <t>SATHEUAN MEUANGPHAUNE  MR</t>
  </si>
  <si>
    <t>Mr. SATHEUAN MEUANGPHAUNE (NOK)</t>
  </si>
  <si>
    <t>010 12 0000531056 001</t>
  </si>
  <si>
    <t>MR. PHONEPASERT MALAVONG (Dido)</t>
  </si>
  <si>
    <t>Pro + WH</t>
  </si>
  <si>
    <t>222 12 19862872</t>
  </si>
  <si>
    <t>PHONEPASERT MALAVONG MR</t>
  </si>
  <si>
    <t>PRO + WH</t>
  </si>
  <si>
    <t>ລາຍເຊັນຜູ້ສະຫຼຸບ</t>
  </si>
  <si>
    <t>N/A</t>
  </si>
  <si>
    <t xml:space="preserve">018 1206740315 </t>
  </si>
  <si>
    <t>CHAMPA LUANGAPHAI MRS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</si>
</sst>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0;0;"/>
    <numFmt numFmtId="165" formatCode="_(* #,##0.0_);_(* \(#,##0.0\);_(* &quot;-&quot;??_);_(@_)"/>
    <numFmt numFmtId="166" formatCode="_(* #,##0.0_);_(* \(#,##0.0\);_(* &quot;-&quot;?_);_(@_)"/>
    <numFmt numFmtId="167" formatCode="_(* #,##0_);_(* \(#,##0\);_(* &quot;-&quot;?_);_(@_)"/>
    <numFmt numFmtId="168" formatCode="_(* #,##0_);_(* \(#,##0\);_(* &quot;-&quot;??_);_(@_)"/>
    <numFmt numFmtId="169" formatCode="_(* #,##0.000_);_(* \(#,##0.000\);_(* &quot;-&quot;??_);_(@_)"/>
  </numFmts>
  <fonts count="82">
    <font>
      <sz val="11"/>
      <color theme="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26"/>
      <color theme="3" tint="-0.24994659260841701"/>
      <name val="Calibri"/>
      <family val="2"/>
      <scheme val="major"/>
    </font>
    <font>
      <b/>
      <sz val="18"/>
      <color theme="4" tint="-0.24994659260841701"/>
      <name val="Calibri"/>
      <family val="2"/>
      <scheme val="minor"/>
    </font>
    <font>
      <b/>
      <sz val="26"/>
      <color theme="3"/>
      <name val="Calibri"/>
      <family val="2"/>
      <scheme val="minor"/>
    </font>
    <font>
      <sz val="11"/>
      <color theme="4" tint="-0.499984740745262"/>
      <name val="Calibri"/>
      <family val="2"/>
      <scheme val="minor"/>
    </font>
    <font>
      <b/>
      <sz val="11"/>
      <color theme="0"/>
      <name val="Calibri"/>
      <family val="2"/>
      <scheme val="minor"/>
    </font>
    <font>
      <b/>
      <sz val="72"/>
      <color theme="6" tint="0.39997558519241921"/>
      <name val="Calibri"/>
      <family val="2"/>
      <scheme val="minor"/>
    </font>
    <font>
      <sz val="8"/>
      <name val="Calibri"/>
      <family val="2"/>
      <scheme val="minor"/>
    </font>
    <font>
      <b/>
      <sz val="18"/>
      <color theme="4" tint="9.9948118533890809E-2"/>
      <name val="Calibri"/>
      <family val="2"/>
      <scheme val="minor"/>
    </font>
    <font>
      <b/>
      <sz val="72"/>
      <color theme="4" tint="0.249977111117893"/>
      <name val="Calibri"/>
      <family val="2"/>
      <scheme val="minor"/>
    </font>
    <font>
      <b/>
      <sz val="11"/>
      <name val="Calibri"/>
      <family val="2"/>
      <scheme val="minor"/>
    </font>
    <font>
      <sz val="11"/>
      <color rgb="FFA20000"/>
      <name val="Calibri"/>
      <family val="2"/>
      <scheme val="minor"/>
    </font>
    <font>
      <sz val="11"/>
      <color theme="0"/>
      <name val="Calibri"/>
      <family val="2"/>
    </font>
    <font>
      <b/>
      <sz val="18"/>
      <color theme="1"/>
      <name val="Calibri"/>
      <family val="2"/>
      <scheme val="minor"/>
    </font>
    <font>
      <sz val="11"/>
      <color rgb="FFC00000"/>
      <name val="Calibri"/>
      <family val="2"/>
      <scheme val="minor"/>
    </font>
    <font>
      <sz val="11"/>
      <name val="Calibri"/>
      <family val="2"/>
      <scheme val="minor"/>
    </font>
    <font>
      <b/>
      <sz val="11"/>
      <color rgb="FF004995"/>
      <name val="Calibri"/>
      <family val="2"/>
      <scheme val="minor"/>
    </font>
    <font>
      <sz val="12"/>
      <name val="Calibri"/>
      <family val="2"/>
      <scheme val="minor"/>
    </font>
    <font>
      <b/>
      <sz val="12"/>
      <name val="Calibri"/>
      <family val="2"/>
      <scheme val="minor"/>
    </font>
    <font>
      <b/>
      <sz val="48"/>
      <color theme="8" tint="-0.249977111117893"/>
      <name val="Calibri"/>
      <family val="2"/>
      <scheme val="minor"/>
    </font>
    <font>
      <b/>
      <sz val="28"/>
      <color theme="4" tint="0.249977111117893"/>
      <name val="Calibri"/>
      <family val="2"/>
      <scheme val="minor"/>
    </font>
    <font>
      <sz val="11"/>
      <color rgb="FFFF0000"/>
      <name val="Calibri"/>
      <family val="2"/>
      <scheme val="minor"/>
    </font>
    <font>
      <b/>
      <sz val="36"/>
      <color theme="4" tint="0.249977111117893"/>
      <name val="Calibri"/>
      <family val="2"/>
      <scheme val="minor"/>
    </font>
    <font>
      <b/>
      <sz val="12"/>
      <color theme="1"/>
      <name val="Phetsarath OT"/>
    </font>
    <font>
      <b/>
      <sz val="12"/>
      <color rgb="FF0070C0"/>
      <name val="Calibri"/>
      <family val="2"/>
      <scheme val="minor"/>
    </font>
    <font>
      <b/>
      <sz val="28"/>
      <color theme="8" tint="-0.249977111117893"/>
      <name val="Calibri"/>
      <family val="2"/>
      <scheme val="minor"/>
    </font>
    <font>
      <b/>
      <sz val="16"/>
      <color theme="1"/>
      <name val="Phetsarath OT"/>
    </font>
    <font>
      <sz val="12"/>
      <color theme="0"/>
      <name val="Calibri"/>
      <family val="2"/>
      <scheme val="minor"/>
    </font>
    <font>
      <b/>
      <sz val="28"/>
      <color theme="7" tint="-0.249977111117893"/>
      <name val="Calibri"/>
      <family val="2"/>
      <scheme val="minor"/>
    </font>
    <font>
      <b/>
      <sz val="36"/>
      <color theme="6" tint="0.39997558519241921"/>
      <name val="Calibri"/>
      <family val="2"/>
      <scheme val="minor"/>
    </font>
    <font>
      <b/>
      <sz val="36"/>
      <color theme="7" tint="-0.249977111117893"/>
      <name val="Calibri"/>
      <family val="2"/>
      <scheme val="minor"/>
    </font>
    <font>
      <b/>
      <sz val="36"/>
      <color theme="8" tint="-0.249977111117893"/>
      <name val="Calibri"/>
      <family val="2"/>
      <scheme val="minor"/>
    </font>
    <font>
      <sz val="12"/>
      <color theme="1"/>
      <name val="Calibri"/>
      <family val="2"/>
      <scheme val="minor"/>
    </font>
    <font>
      <sz val="12"/>
      <color rgb="FFFF0000"/>
      <name val="Calibri"/>
      <family val="2"/>
      <scheme val="minor"/>
    </font>
    <font>
      <sz val="12"/>
      <color theme="1"/>
      <name val="Phetsarath OT"/>
    </font>
    <font>
      <b/>
      <sz val="36"/>
      <color theme="1"/>
      <name val="Calibri"/>
      <family val="2"/>
      <scheme val="minor"/>
    </font>
    <font>
      <b/>
      <sz val="26"/>
      <color theme="1"/>
      <name val="Calibri"/>
      <family val="2"/>
      <scheme val="minor"/>
    </font>
    <font>
      <b/>
      <sz val="12"/>
      <color theme="1"/>
      <name val="Calibri"/>
      <family val="2"/>
      <scheme val="minor"/>
    </font>
    <font>
      <sz val="11"/>
      <color theme="6" tint="-0.249977111117893"/>
      <name val="Calibri"/>
      <family val="2"/>
      <scheme val="minor"/>
    </font>
    <font>
      <sz val="12"/>
      <color theme="6" tint="-0.249977111117893"/>
      <name val="Calibri"/>
      <family val="2"/>
      <scheme val="minor"/>
    </font>
    <font>
      <sz val="11"/>
      <color theme="1"/>
      <name val="Times New Roman"/>
      <family val="1"/>
    </font>
    <font>
      <b/>
      <sz val="12"/>
      <name val="Phetsarath OT"/>
    </font>
    <font>
      <sz val="12"/>
      <name val="Times New Roman"/>
      <family val="1"/>
    </font>
    <font>
      <b/>
      <sz val="16"/>
      <color theme="1"/>
      <name val="Calibri"/>
      <family val="2"/>
      <scheme val="minor"/>
    </font>
    <font>
      <sz val="11"/>
      <color theme="1"/>
      <name val="Phetsarath OT"/>
    </font>
    <font>
      <sz val="11"/>
      <color theme="0"/>
      <name val="Phetsarath OT"/>
    </font>
    <font>
      <sz val="11"/>
      <color rgb="FFFF0000"/>
      <name val="Times New Roman"/>
      <family val="1"/>
    </font>
    <font>
      <sz val="11"/>
      <color rgb="FFFF0000"/>
      <name val="Phetsarath OT"/>
    </font>
    <font>
      <sz val="11"/>
      <color theme="1" tint="0.249977111117893"/>
      <name val="Calibri"/>
      <family val="2"/>
      <scheme val="minor"/>
    </font>
    <font>
      <sz val="12"/>
      <color theme="1" tint="0.249977111117893"/>
      <name val="Calibri"/>
      <family val="2"/>
      <scheme val="minor"/>
    </font>
    <font>
      <b/>
      <sz val="11"/>
      <color theme="1" tint="0.249977111117893"/>
      <name val="Calibri"/>
      <family val="2"/>
      <scheme val="minor"/>
    </font>
    <font>
      <b/>
      <sz val="20"/>
      <name val="Phetsarath OT"/>
    </font>
  </fonts>
  <fills count="37">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2"/>
        <bgColor indexed="65"/>
      </patternFill>
    </fill>
    <fill>
      <patternFill patternType="solid">
        <fgColor theme="7" tint="0.39997558519241921"/>
        <bgColor indexed="65"/>
      </patternFill>
    </fill>
    <fill>
      <patternFill patternType="solid">
        <fgColor theme="3" tint="0.79998168889431442"/>
        <bgColor indexed="64"/>
      </patternFill>
    </fill>
    <fill>
      <patternFill patternType="solid">
        <fgColor theme="3" tint="-0.24994659260841701"/>
        <bgColor indexed="64"/>
      </patternFill>
    </fill>
    <fill>
      <patternFill patternType="solid">
        <fgColor theme="3" tint="0.39994506668294322"/>
        <bgColor indexed="64"/>
      </patternFill>
    </fill>
    <fill>
      <patternFill patternType="solid">
        <fgColor theme="7" tint="0.59996337778862885"/>
        <bgColor indexed="64"/>
      </patternFill>
    </fill>
    <fill>
      <patternFill patternType="solid">
        <fgColor theme="5" tint="0.59999389629810485"/>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8" tint="0.59999389629810485"/>
        <bgColor indexed="65"/>
      </patternFill>
    </fill>
    <fill>
      <patternFill patternType="solid">
        <fgColor theme="4" tint="0.3999450666829432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rgb="FFF8E3E0"/>
        <bgColor indexed="64"/>
      </patternFill>
    </fill>
    <fill>
      <patternFill patternType="solid">
        <fgColor theme="5" tint="0.39994506668294322"/>
        <bgColor indexed="64"/>
      </patternFill>
    </fill>
    <fill>
      <patternFill patternType="solid">
        <fgColor theme="6" tint="0.59996337778862885"/>
        <bgColor indexed="64"/>
      </patternFill>
    </fill>
    <fill>
      <patternFill patternType="solid">
        <fgColor theme="0"/>
        <bgColor indexed="64"/>
      </patternFill>
    </fill>
    <fill>
      <patternFill patternType="solid">
        <fgColor theme="4" tint="0.499984740745262"/>
        <bgColor indexed="64"/>
      </patternFill>
    </fill>
    <fill>
      <patternFill patternType="solid">
        <fgColor rgb="FFFF0000"/>
        <bgColor indexed="64"/>
      </patternFill>
    </fill>
    <fill>
      <patternFill patternType="solid">
        <fgColor rgb="FFFFFF00"/>
        <bgColor indexed="64"/>
      </patternFill>
    </fill>
    <fill>
      <patternFill patternType="solid">
        <fgColor theme="9"/>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749992370372631"/>
        <bgColor indexed="64"/>
      </patternFill>
    </fill>
    <fill>
      <patternFill patternType="solid">
        <fgColor rgb="FF00B05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5" tint="-0.249977111117893"/>
        <bgColor indexed="64"/>
      </patternFill>
    </fill>
  </fills>
  <borders count="19">
    <border>
      <left/>
      <right/>
      <top/>
      <bottom/>
      <diagonal/>
    </border>
    <border>
      <left/>
      <right/>
      <top/>
      <bottom style="thin">
        <color theme="4"/>
      </bottom>
      <diagonal/>
    </border>
    <border>
      <left/>
      <right/>
      <top style="thin">
        <color theme="4"/>
      </top>
      <bottom/>
      <diagonal/>
    </border>
    <border>
      <left/>
      <right/>
      <top style="thin">
        <color auto="1"/>
      </top>
      <bottom/>
      <diagonal/>
    </border>
    <border>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9">
    <xf numFmtId="0" fontId="0" fillId="0" borderId="0">
      <alignment horizontal="left" vertical="center"/>
    </xf>
    <xf numFmtId="0" fontId="33" fillId="0" borderId="0" applyNumberFormat="0" applyFill="0" applyBorder="0" applyProtection="0">
      <alignment vertical="top"/>
    </xf>
    <xf numFmtId="0" fontId="31" fillId="0" borderId="0" applyNumberFormat="0" applyFill="0" applyBorder="0" applyProtection="0">
      <alignment vertical="top"/>
    </xf>
    <xf numFmtId="0" fontId="32" fillId="2" borderId="0" applyNumberFormat="0" applyBorder="0" applyProtection="0">
      <alignment horizontal="center" vertical="center"/>
    </xf>
    <xf numFmtId="0" fontId="28" fillId="20" borderId="0" applyNumberFormat="0" applyProtection="0">
      <alignment horizontal="right" vertical="center" indent="1"/>
    </xf>
    <xf numFmtId="0" fontId="29" fillId="0" borderId="0" applyNumberFormat="0" applyFill="0" applyBorder="0" applyProtection="0">
      <alignment horizontal="left" vertical="center" indent="2"/>
    </xf>
    <xf numFmtId="0" fontId="30" fillId="3" borderId="0" applyNumberFormat="0" applyBorder="0" applyAlignment="0" applyProtection="0"/>
    <xf numFmtId="0" fontId="27" fillId="4" borderId="0" applyNumberFormat="0" applyBorder="0" applyProtection="0">
      <alignment horizontal="center" vertical="center"/>
    </xf>
    <xf numFmtId="0" fontId="28" fillId="9" borderId="0" applyNumberFormat="0" applyBorder="0" applyAlignment="0" applyProtection="0"/>
    <xf numFmtId="0" fontId="27" fillId="5" borderId="0" applyNumberFormat="0" applyBorder="0" applyAlignment="0" applyProtection="0"/>
    <xf numFmtId="0" fontId="30" fillId="7" borderId="0" applyNumberFormat="0" applyBorder="0" applyAlignment="0" applyProtection="0"/>
    <xf numFmtId="0" fontId="27" fillId="6" borderId="0" applyNumberFormat="0" applyBorder="0" applyAlignment="0" applyProtection="0"/>
    <xf numFmtId="0" fontId="28" fillId="15" borderId="0" applyNumberFormat="0" applyBorder="0" applyAlignment="0" applyProtection="0"/>
    <xf numFmtId="0" fontId="27" fillId="8" borderId="0" applyNumberFormat="0" applyBorder="0" applyAlignment="0" applyProtection="0"/>
    <xf numFmtId="0" fontId="30" fillId="15" borderId="0" applyNumberFormat="0" applyBorder="0" applyAlignment="0" applyProtection="0"/>
    <xf numFmtId="0" fontId="27" fillId="18" borderId="0" applyNumberFormat="0" applyBorder="0" applyAlignment="0" applyProtection="0"/>
    <xf numFmtId="0" fontId="28" fillId="17" borderId="0" applyNumberFormat="0" applyBorder="0" applyAlignment="0" applyProtection="0"/>
    <xf numFmtId="0" fontId="30" fillId="16" borderId="0" applyNumberFormat="0" applyBorder="0" applyAlignment="0" applyProtection="0"/>
    <xf numFmtId="0" fontId="30" fillId="19" borderId="0" applyNumberFormat="0" applyBorder="0" applyAlignment="0" applyProtection="0"/>
    <xf numFmtId="0" fontId="28" fillId="10" borderId="0" applyNumberFormat="0" applyBorder="0" applyAlignment="0" applyProtection="0"/>
    <xf numFmtId="0" fontId="30" fillId="11" borderId="0" applyNumberFormat="0" applyBorder="0" applyAlignment="0" applyProtection="0"/>
    <xf numFmtId="0" fontId="27" fillId="2" borderId="0" applyNumberFormat="0" applyBorder="0" applyAlignment="0" applyProtection="0"/>
    <xf numFmtId="0" fontId="28" fillId="12" borderId="0" applyNumberFormat="0" applyBorder="0" applyProtection="0">
      <alignment horizontal="left" vertical="center" indent="1"/>
    </xf>
    <xf numFmtId="0" fontId="28" fillId="13" borderId="0" applyNumberFormat="0" applyBorder="0" applyAlignment="0" applyProtection="0"/>
    <xf numFmtId="0" fontId="28" fillId="14" borderId="0" applyNumberFormat="0" applyBorder="0" applyAlignment="0" applyProtection="0"/>
    <xf numFmtId="1" fontId="27" fillId="0" borderId="0" applyFill="0" applyBorder="0" applyProtection="0">
      <alignment horizontal="center" vertical="center"/>
    </xf>
    <xf numFmtId="0" fontId="27" fillId="0" borderId="0" applyNumberFormat="0" applyFill="0" applyBorder="0">
      <alignment horizontal="left" vertical="center" wrapText="1" indent="2"/>
    </xf>
    <xf numFmtId="0" fontId="34" fillId="0" borderId="0">
      <alignment horizontal="center"/>
    </xf>
    <xf numFmtId="43" fontId="30" fillId="0" borderId="0" applyFont="0" applyFill="0" applyBorder="0" applyAlignment="0" applyProtection="0"/>
  </cellStyleXfs>
  <cellXfs count="340">
    <xf numFmtId="0" fontId="0" fillId="0" borderId="0" xfId="0">
      <alignment horizontal="left" vertical="center"/>
    </xf>
    <xf numFmtId="0" fontId="0" fillId="0" borderId="0" xfId="0" applyAlignment="1">
      <alignment horizontal="center" vertical="center"/>
    </xf>
    <xf numFmtId="0" fontId="27" fillId="0" borderId="0" xfId="26" applyFill="1" applyBorder="1">
      <alignment horizontal="left" vertical="center" wrapText="1" indent="2"/>
    </xf>
    <xf numFmtId="1" fontId="27" fillId="0" borderId="0" xfId="25" applyFill="1" applyBorder="1" applyProtection="1">
      <alignment horizontal="center" vertical="center"/>
    </xf>
    <xf numFmtId="164" fontId="0" fillId="0" borderId="0" xfId="0" applyNumberFormat="1" applyAlignment="1">
      <alignment horizontal="center" vertical="center"/>
    </xf>
    <xf numFmtId="0" fontId="0" fillId="0" borderId="0" xfId="0" applyAlignment="1">
      <alignment horizontal="left" vertical="center" indent="1"/>
    </xf>
    <xf numFmtId="0" fontId="32" fillId="0" borderId="0" xfId="3" applyFill="1" applyProtection="1">
      <alignment horizontal="center" vertical="center"/>
    </xf>
    <xf numFmtId="0" fontId="28" fillId="0" borderId="0" xfId="4" applyFill="1" applyAlignment="1" applyProtection="1">
      <alignment horizontal="left" vertical="center" indent="1"/>
    </xf>
    <xf numFmtId="0" fontId="0" fillId="0" borderId="1" xfId="0" applyBorder="1">
      <alignment horizontal="left" vertical="center"/>
    </xf>
    <xf numFmtId="0" fontId="33" fillId="0" borderId="2" xfId="1" applyBorder="1" applyAlignment="1" applyProtection="1">
      <alignment vertical="center"/>
    </xf>
    <xf numFmtId="0" fontId="0" fillId="0" borderId="2" xfId="0" applyBorder="1">
      <alignment horizontal="left" vertical="center"/>
    </xf>
    <xf numFmtId="0" fontId="0" fillId="0" borderId="0" xfId="0" applyAlignment="1">
      <alignment horizontal="left" vertical="top"/>
    </xf>
    <xf numFmtId="0" fontId="0" fillId="0" borderId="0" xfId="0" applyAlignment="1">
      <alignment horizontal="left" wrapText="1" indent="1"/>
    </xf>
    <xf numFmtId="0" fontId="0" fillId="0" borderId="0" xfId="0" applyAlignment="1">
      <alignment horizontal="left" indent="1"/>
    </xf>
    <xf numFmtId="0" fontId="0" fillId="0" borderId="3" xfId="0" applyBorder="1" applyAlignment="1">
      <alignment horizontal="left" indent="1"/>
    </xf>
    <xf numFmtId="0" fontId="0" fillId="0" borderId="4" xfId="0" applyBorder="1">
      <alignment horizontal="left" vertical="center"/>
    </xf>
    <xf numFmtId="0" fontId="34" fillId="0" borderId="4" xfId="27" applyBorder="1">
      <alignment horizontal="center"/>
    </xf>
    <xf numFmtId="164" fontId="35" fillId="9" borderId="0" xfId="8" applyNumberFormat="1" applyFont="1" applyAlignment="1" applyProtection="1">
      <alignment horizontal="center" vertical="center"/>
    </xf>
    <xf numFmtId="164" fontId="35" fillId="3" borderId="0" xfId="24" applyNumberFormat="1" applyFont="1" applyFill="1" applyAlignment="1" applyProtection="1">
      <alignment horizontal="center" vertical="center"/>
    </xf>
    <xf numFmtId="0" fontId="30" fillId="0" borderId="0" xfId="0" applyFont="1" applyAlignment="1">
      <alignment horizontal="center" vertical="center"/>
    </xf>
    <xf numFmtId="0" fontId="27" fillId="0" borderId="0" xfId="21" applyFill="1" applyBorder="1" applyAlignment="1" applyProtection="1">
      <alignment horizontal="left" vertical="center" indent="1"/>
    </xf>
    <xf numFmtId="0" fontId="27" fillId="0" borderId="0" xfId="0" applyFont="1" applyAlignment="1">
      <alignment horizontal="center" vertical="center"/>
    </xf>
    <xf numFmtId="0" fontId="27" fillId="21" borderId="0" xfId="21" applyFill="1" applyBorder="1" applyAlignment="1" applyProtection="1">
      <alignment horizontal="center" vertical="center"/>
    </xf>
    <xf numFmtId="0" fontId="36" fillId="0" borderId="0" xfId="3" applyFont="1" applyFill="1" applyAlignment="1" applyProtection="1">
      <alignment horizontal="left" vertical="top"/>
    </xf>
    <xf numFmtId="0" fontId="38" fillId="0" borderId="0" xfId="1" applyFont="1" applyAlignment="1" applyProtection="1">
      <alignment horizontal="left" indent="1"/>
    </xf>
    <xf numFmtId="0" fontId="39" fillId="0" borderId="0" xfId="3" applyFont="1" applyFill="1" applyAlignment="1" applyProtection="1">
      <alignment vertical="top"/>
    </xf>
    <xf numFmtId="0" fontId="40" fillId="10" borderId="0" xfId="19" applyFont="1" applyAlignment="1" applyProtection="1">
      <alignment horizontal="center" vertical="center"/>
    </xf>
    <xf numFmtId="0" fontId="40" fillId="13" borderId="0" xfId="23" applyFont="1" applyAlignment="1" applyProtection="1">
      <alignment horizontal="center" vertical="center"/>
    </xf>
    <xf numFmtId="0" fontId="40" fillId="15" borderId="0" xfId="12" applyFont="1" applyAlignment="1" applyProtection="1">
      <alignment horizontal="center" vertical="center"/>
    </xf>
    <xf numFmtId="0" fontId="32" fillId="0" borderId="0" xfId="3" applyFill="1" applyAlignment="1" applyProtection="1">
      <alignment horizontal="left" vertical="center"/>
    </xf>
    <xf numFmtId="0" fontId="26" fillId="0" borderId="0" xfId="26" applyFont="1" applyAlignment="1">
      <alignment vertical="center" wrapText="1"/>
    </xf>
    <xf numFmtId="0" fontId="27" fillId="0" borderId="0" xfId="26" applyNumberFormat="1" applyFill="1" applyBorder="1">
      <alignment horizontal="left" vertical="center" wrapText="1" indent="2"/>
    </xf>
    <xf numFmtId="1" fontId="27" fillId="0" borderId="0" xfId="25" applyProtection="1">
      <alignment horizontal="center" vertical="center"/>
    </xf>
    <xf numFmtId="0" fontId="42" fillId="0" borderId="0" xfId="0" applyFont="1" applyAlignment="1">
      <alignment horizontal="center" vertical="center"/>
    </xf>
    <xf numFmtId="0" fontId="40" fillId="10" borderId="5" xfId="19" applyFont="1" applyBorder="1" applyAlignment="1" applyProtection="1">
      <alignment horizontal="center" vertical="center"/>
    </xf>
    <xf numFmtId="0" fontId="0" fillId="0" borderId="8" xfId="0" applyBorder="1">
      <alignment horizontal="left" vertical="center"/>
    </xf>
    <xf numFmtId="0" fontId="0" fillId="0" borderId="9" xfId="0" applyBorder="1">
      <alignment horizontal="left" vertical="center"/>
    </xf>
    <xf numFmtId="0" fontId="0" fillId="0" borderId="10" xfId="0" applyBorder="1">
      <alignment horizontal="left" vertical="center"/>
    </xf>
    <xf numFmtId="0" fontId="40" fillId="13" borderId="5" xfId="23" applyFont="1" applyBorder="1" applyAlignment="1" applyProtection="1">
      <alignment horizontal="center" vertical="center"/>
    </xf>
    <xf numFmtId="0" fontId="40" fillId="15" borderId="5" xfId="12" applyFont="1" applyBorder="1" applyAlignment="1" applyProtection="1">
      <alignment horizontal="center" vertical="center"/>
    </xf>
    <xf numFmtId="0" fontId="26" fillId="0" borderId="6" xfId="21" applyFont="1" applyFill="1" applyBorder="1" applyAlignment="1" applyProtection="1">
      <alignment vertical="center"/>
    </xf>
    <xf numFmtId="0" fontId="27" fillId="0" borderId="6" xfId="21" applyFill="1" applyBorder="1" applyAlignment="1" applyProtection="1">
      <alignment vertical="center"/>
    </xf>
    <xf numFmtId="0" fontId="27" fillId="0" borderId="7" xfId="21" applyFill="1" applyBorder="1" applyAlignment="1" applyProtection="1">
      <alignment vertical="center"/>
    </xf>
    <xf numFmtId="0" fontId="26" fillId="0" borderId="0" xfId="0" applyFont="1">
      <alignment horizontal="left" vertical="center"/>
    </xf>
    <xf numFmtId="43" fontId="26" fillId="0" borderId="0" xfId="28" applyFont="1" applyAlignment="1">
      <alignment horizontal="left" vertical="center"/>
    </xf>
    <xf numFmtId="0" fontId="43" fillId="0" borderId="0" xfId="1" applyFont="1" applyAlignment="1" applyProtection="1">
      <alignment horizontal="left" indent="1"/>
    </xf>
    <xf numFmtId="0" fontId="26" fillId="0" borderId="0" xfId="0" applyFont="1" applyAlignment="1"/>
    <xf numFmtId="0" fontId="44" fillId="0" borderId="0" xfId="26" applyFont="1" applyFill="1" applyBorder="1">
      <alignment horizontal="left" vertical="center" wrapText="1" indent="2"/>
    </xf>
    <xf numFmtId="0" fontId="0" fillId="23" borderId="0" xfId="0" applyFill="1" applyAlignment="1">
      <alignment horizontal="center" vertical="center"/>
    </xf>
    <xf numFmtId="164" fontId="0" fillId="23" borderId="0" xfId="0" applyNumberFormat="1" applyFill="1" applyAlignment="1">
      <alignment horizontal="center" vertical="center"/>
    </xf>
    <xf numFmtId="165" fontId="40" fillId="0" borderId="0" xfId="28" applyNumberFormat="1" applyFont="1" applyAlignment="1">
      <alignment horizontal="left" vertical="center"/>
    </xf>
    <xf numFmtId="0" fontId="45" fillId="0" borderId="0" xfId="0" applyFont="1">
      <alignment horizontal="left" vertical="center"/>
    </xf>
    <xf numFmtId="166" fontId="45" fillId="0" borderId="0" xfId="0" applyNumberFormat="1" applyFont="1">
      <alignment horizontal="left" vertical="center"/>
    </xf>
    <xf numFmtId="43" fontId="26" fillId="0" borderId="11" xfId="28" applyFont="1" applyBorder="1" applyAlignment="1">
      <alignment horizontal="center" vertical="center"/>
    </xf>
    <xf numFmtId="0" fontId="26" fillId="0" borderId="11" xfId="0" applyFont="1" applyBorder="1" applyAlignment="1">
      <alignment horizontal="center" vertical="center"/>
    </xf>
    <xf numFmtId="43" fontId="26" fillId="0" borderId="11" xfId="28" applyFont="1" applyBorder="1" applyAlignment="1">
      <alignment horizontal="left" vertical="center"/>
    </xf>
    <xf numFmtId="165" fontId="26" fillId="0" borderId="11" xfId="28" applyNumberFormat="1" applyFont="1" applyBorder="1" applyAlignment="1">
      <alignment horizontal="left" vertical="center"/>
    </xf>
    <xf numFmtId="165" fontId="45" fillId="0" borderId="0" xfId="28" applyNumberFormat="1" applyFont="1" applyAlignment="1">
      <alignment horizontal="left" vertical="center"/>
    </xf>
    <xf numFmtId="165" fontId="46" fillId="24" borderId="0" xfId="28" applyNumberFormat="1" applyFont="1" applyFill="1" applyAlignment="1">
      <alignment horizontal="left" vertical="center"/>
    </xf>
    <xf numFmtId="0" fontId="0" fillId="3" borderId="0" xfId="0" applyFill="1" applyAlignment="1">
      <alignment horizontal="center" vertical="center"/>
    </xf>
    <xf numFmtId="0" fontId="42" fillId="3" borderId="0" xfId="0" applyFont="1" applyFill="1" applyAlignment="1">
      <alignment horizontal="center" vertical="center"/>
    </xf>
    <xf numFmtId="164" fontId="0" fillId="3" borderId="0" xfId="0" applyNumberFormat="1" applyFill="1" applyAlignment="1">
      <alignment horizontal="center" vertical="center"/>
    </xf>
    <xf numFmtId="43" fontId="25" fillId="0" borderId="0" xfId="26" applyNumberFormat="1" applyFont="1">
      <alignment horizontal="left" vertical="center" wrapText="1" indent="2"/>
    </xf>
    <xf numFmtId="165" fontId="26" fillId="0" borderId="0" xfId="28" applyNumberFormat="1" applyFont="1" applyAlignment="1">
      <alignment horizontal="center" vertical="center"/>
    </xf>
    <xf numFmtId="165" fontId="25" fillId="0" borderId="11" xfId="28" applyNumberFormat="1" applyFont="1" applyBorder="1" applyAlignment="1">
      <alignment horizontal="center" vertical="center"/>
    </xf>
    <xf numFmtId="165" fontId="0" fillId="0" borderId="0" xfId="28" applyNumberFormat="1" applyFont="1" applyAlignment="1">
      <alignment horizontal="center" vertical="center"/>
    </xf>
    <xf numFmtId="165" fontId="25" fillId="0" borderId="12" xfId="28" applyNumberFormat="1" applyFont="1" applyBorder="1" applyAlignment="1">
      <alignment horizontal="center" vertical="center"/>
    </xf>
    <xf numFmtId="165" fontId="26" fillId="0" borderId="12" xfId="28" applyNumberFormat="1" applyFont="1" applyBorder="1" applyAlignment="1">
      <alignment horizontal="center" vertical="center"/>
    </xf>
    <xf numFmtId="0" fontId="26" fillId="0" borderId="11" xfId="0" applyFont="1" applyBorder="1">
      <alignment horizontal="left" vertical="center"/>
    </xf>
    <xf numFmtId="43" fontId="26" fillId="0" borderId="11" xfId="0" applyNumberFormat="1" applyFont="1" applyBorder="1">
      <alignment horizontal="left" vertical="center"/>
    </xf>
    <xf numFmtId="0" fontId="47" fillId="0" borderId="6" xfId="0" applyFont="1" applyBorder="1">
      <alignment horizontal="left" vertical="center"/>
    </xf>
    <xf numFmtId="0" fontId="47" fillId="0" borderId="7" xfId="0" applyFont="1" applyBorder="1">
      <alignment horizontal="left" vertical="center"/>
    </xf>
    <xf numFmtId="0" fontId="48" fillId="0" borderId="5" xfId="0" applyFont="1" applyBorder="1">
      <alignment horizontal="left" vertical="center"/>
    </xf>
    <xf numFmtId="165" fontId="24" fillId="0" borderId="11" xfId="28" applyNumberFormat="1" applyFont="1" applyBorder="1" applyAlignment="1">
      <alignment horizontal="center" vertical="center"/>
    </xf>
    <xf numFmtId="0" fontId="0" fillId="0" borderId="11" xfId="0" applyBorder="1">
      <alignment horizontal="left" vertical="center"/>
    </xf>
    <xf numFmtId="43" fontId="24" fillId="0" borderId="11" xfId="28" applyFont="1" applyBorder="1" applyAlignment="1">
      <alignment horizontal="center" vertical="center"/>
    </xf>
    <xf numFmtId="165" fontId="45" fillId="0" borderId="11" xfId="28" applyNumberFormat="1" applyFont="1" applyBorder="1" applyAlignment="1">
      <alignment horizontal="left" vertical="center"/>
    </xf>
    <xf numFmtId="0" fontId="40" fillId="0" borderId="13" xfId="0" applyFont="1" applyBorder="1">
      <alignment horizontal="left" vertical="center"/>
    </xf>
    <xf numFmtId="165" fontId="40" fillId="0" borderId="14" xfId="28" applyNumberFormat="1" applyFont="1" applyBorder="1" applyAlignment="1">
      <alignment horizontal="left" vertical="center"/>
    </xf>
    <xf numFmtId="165" fontId="45" fillId="0" borderId="11" xfId="0" applyNumberFormat="1" applyFont="1" applyBorder="1">
      <alignment horizontal="left" vertical="center"/>
    </xf>
    <xf numFmtId="0" fontId="41" fillId="25" borderId="0" xfId="0" applyFont="1" applyFill="1" applyAlignment="1">
      <alignment horizontal="center" vertical="center"/>
    </xf>
    <xf numFmtId="0" fontId="0" fillId="25" borderId="0" xfId="0" applyFill="1" applyAlignment="1">
      <alignment horizontal="center" vertical="center"/>
    </xf>
    <xf numFmtId="1" fontId="27" fillId="21" borderId="0" xfId="25" applyFill="1" applyBorder="1" applyProtection="1">
      <alignment horizontal="center" vertical="center"/>
    </xf>
    <xf numFmtId="165" fontId="47" fillId="0" borderId="0" xfId="28" applyNumberFormat="1" applyFont="1" applyAlignment="1">
      <alignment horizontal="left" vertical="center"/>
    </xf>
    <xf numFmtId="0" fontId="27" fillId="0" borderId="0" xfId="26" applyNumberFormat="1" applyFill="1">
      <alignment horizontal="left" vertical="center" wrapText="1" indent="2"/>
    </xf>
    <xf numFmtId="0" fontId="0" fillId="23" borderId="0" xfId="0" applyFill="1">
      <alignment horizontal="left" vertical="center"/>
    </xf>
    <xf numFmtId="0" fontId="0" fillId="26" borderId="0" xfId="0" applyFill="1" applyAlignment="1">
      <alignment horizontal="center" vertical="center"/>
    </xf>
    <xf numFmtId="165" fontId="47" fillId="26" borderId="11" xfId="28" applyNumberFormat="1" applyFont="1" applyFill="1" applyBorder="1" applyAlignment="1">
      <alignment horizontal="left" vertical="center"/>
    </xf>
    <xf numFmtId="0" fontId="45" fillId="0" borderId="0" xfId="26" applyNumberFormat="1" applyFont="1" applyFill="1" applyBorder="1">
      <alignment horizontal="left" vertical="center" wrapText="1" indent="2"/>
    </xf>
    <xf numFmtId="0" fontId="51" fillId="0" borderId="0" xfId="0" applyFont="1">
      <alignment horizontal="left" vertical="center"/>
    </xf>
    <xf numFmtId="0" fontId="33" fillId="0" borderId="0" xfId="1" applyBorder="1" applyAlignment="1" applyProtection="1">
      <alignment vertical="center"/>
    </xf>
    <xf numFmtId="1" fontId="23" fillId="0" borderId="0" xfId="0" applyNumberFormat="1" applyFont="1" applyAlignment="1">
      <alignment horizontal="center" vertical="center"/>
    </xf>
    <xf numFmtId="0" fontId="28" fillId="21" borderId="0" xfId="4" applyFill="1" applyAlignment="1" applyProtection="1">
      <alignment horizontal="left" vertical="center" indent="1"/>
    </xf>
    <xf numFmtId="0" fontId="40" fillId="21" borderId="0" xfId="12" applyFont="1" applyFill="1" applyAlignment="1" applyProtection="1">
      <alignment horizontal="center" vertical="center"/>
    </xf>
    <xf numFmtId="0" fontId="40" fillId="21" borderId="0" xfId="19" applyFont="1" applyFill="1" applyAlignment="1" applyProtection="1">
      <alignment horizontal="center" vertical="center"/>
    </xf>
    <xf numFmtId="0" fontId="40" fillId="21" borderId="0" xfId="23" applyFont="1" applyFill="1" applyAlignment="1" applyProtection="1">
      <alignment horizontal="center" vertical="center"/>
    </xf>
    <xf numFmtId="164" fontId="35" fillId="21" borderId="0" xfId="8" applyNumberFormat="1" applyFont="1" applyFill="1" applyAlignment="1" applyProtection="1">
      <alignment horizontal="center" vertical="center"/>
    </xf>
    <xf numFmtId="164" fontId="35" fillId="21" borderId="0" xfId="24" applyNumberFormat="1" applyFont="1" applyFill="1" applyAlignment="1" applyProtection="1">
      <alignment horizontal="center" vertical="center"/>
    </xf>
    <xf numFmtId="0" fontId="50" fillId="0" borderId="0" xfId="3" applyFont="1" applyFill="1" applyBorder="1" applyAlignment="1" applyProtection="1">
      <alignment horizontal="left" vertical="top"/>
    </xf>
    <xf numFmtId="0" fontId="27" fillId="0" borderId="0" xfId="26" applyFill="1" applyBorder="1" applyAlignment="1">
      <alignment vertical="center" wrapText="1"/>
    </xf>
    <xf numFmtId="0" fontId="0" fillId="0" borderId="0" xfId="0" applyAlignment="1">
      <alignment vertical="center"/>
    </xf>
    <xf numFmtId="0" fontId="52" fillId="0" borderId="0" xfId="3" applyFont="1" applyFill="1" applyAlignment="1" applyProtection="1">
      <alignment horizontal="left" vertical="center"/>
    </xf>
    <xf numFmtId="0" fontId="27" fillId="27" borderId="0" xfId="0" applyFont="1" applyFill="1" applyAlignment="1">
      <alignment horizontal="center" vertical="center"/>
    </xf>
    <xf numFmtId="0" fontId="0" fillId="27" borderId="0" xfId="0" applyFill="1" applyAlignment="1">
      <alignment horizontal="center" vertical="center"/>
    </xf>
    <xf numFmtId="0" fontId="0" fillId="27" borderId="0" xfId="0" applyFill="1">
      <alignment horizontal="left" vertical="center"/>
    </xf>
    <xf numFmtId="164" fontId="0" fillId="27" borderId="0" xfId="0" applyNumberFormat="1" applyFill="1" applyAlignment="1">
      <alignment horizontal="center" vertical="center"/>
    </xf>
    <xf numFmtId="0" fontId="27" fillId="0" borderId="0" xfId="21" applyFill="1" applyBorder="1" applyAlignment="1" applyProtection="1">
      <alignment vertical="center"/>
    </xf>
    <xf numFmtId="43" fontId="22" fillId="0" borderId="11" xfId="28" applyFont="1" applyBorder="1" applyAlignment="1">
      <alignment horizontal="center" vertical="center"/>
    </xf>
    <xf numFmtId="0" fontId="40" fillId="0" borderId="15" xfId="0" applyFont="1" applyBorder="1">
      <alignment horizontal="left" vertical="center"/>
    </xf>
    <xf numFmtId="165" fontId="40" fillId="0" borderId="16" xfId="28" applyNumberFormat="1" applyFont="1" applyBorder="1" applyAlignment="1">
      <alignment horizontal="left" vertical="center"/>
    </xf>
    <xf numFmtId="0" fontId="27" fillId="26" borderId="0" xfId="0" applyFont="1" applyFill="1" applyAlignment="1">
      <alignment horizontal="center" vertical="center"/>
    </xf>
    <xf numFmtId="164" fontId="0" fillId="26" borderId="0" xfId="0" applyNumberFormat="1" applyFill="1" applyAlignment="1">
      <alignment horizontal="center" vertical="center"/>
    </xf>
    <xf numFmtId="0" fontId="0" fillId="28" borderId="0" xfId="0" applyFill="1" applyAlignment="1">
      <alignment horizontal="center" vertical="center"/>
    </xf>
    <xf numFmtId="165" fontId="53" fillId="0" borderId="0" xfId="28" applyNumberFormat="1" applyFont="1" applyBorder="1" applyAlignment="1">
      <alignment horizontal="center" vertical="center"/>
    </xf>
    <xf numFmtId="43" fontId="54" fillId="0" borderId="0" xfId="28" applyFont="1" applyBorder="1" applyAlignment="1">
      <alignment horizontal="left" vertical="center"/>
    </xf>
    <xf numFmtId="165" fontId="45" fillId="29" borderId="11" xfId="28" applyNumberFormat="1" applyFont="1" applyFill="1" applyBorder="1" applyAlignment="1">
      <alignment horizontal="left" vertical="center"/>
    </xf>
    <xf numFmtId="0" fontId="27" fillId="0" borderId="0" xfId="26" applyNumberFormat="1" applyFill="1" applyBorder="1" applyAlignment="1">
      <alignment vertical="center" wrapText="1"/>
    </xf>
    <xf numFmtId="165" fontId="21" fillId="0" borderId="11" xfId="28" applyNumberFormat="1" applyFont="1" applyBorder="1" applyAlignment="1">
      <alignment horizontal="center" vertical="center"/>
    </xf>
    <xf numFmtId="0" fontId="27" fillId="0" borderId="0" xfId="26" applyFill="1" applyBorder="1" applyAlignment="1">
      <alignment horizontal="left" vertical="center" wrapText="1"/>
    </xf>
    <xf numFmtId="0" fontId="27" fillId="0" borderId="0" xfId="26" applyNumberFormat="1" applyFill="1" applyAlignment="1">
      <alignment horizontal="left" vertical="center" wrapText="1"/>
    </xf>
    <xf numFmtId="0" fontId="20" fillId="0" borderId="0" xfId="0" applyFont="1" applyAlignment="1">
      <alignment horizontal="center" vertical="center"/>
    </xf>
    <xf numFmtId="0" fontId="20" fillId="24" borderId="11" xfId="0" applyFont="1" applyFill="1" applyBorder="1" applyAlignment="1">
      <alignment horizontal="center" vertical="center"/>
    </xf>
    <xf numFmtId="165" fontId="20" fillId="24" borderId="11" xfId="28" applyNumberFormat="1" applyFont="1" applyFill="1" applyBorder="1" applyAlignment="1">
      <alignment horizontal="center" vertical="center"/>
    </xf>
    <xf numFmtId="15" fontId="20" fillId="24" borderId="11" xfId="0" applyNumberFormat="1" applyFont="1" applyFill="1" applyBorder="1" applyAlignment="1">
      <alignment horizontal="center" vertical="center"/>
    </xf>
    <xf numFmtId="0" fontId="51" fillId="30" borderId="0" xfId="0" applyFont="1" applyFill="1" applyAlignment="1">
      <alignment horizontal="center" vertical="center"/>
    </xf>
    <xf numFmtId="0" fontId="55" fillId="0" borderId="0" xfId="3" applyFont="1" applyFill="1" applyAlignment="1" applyProtection="1">
      <alignment vertical="center"/>
    </xf>
    <xf numFmtId="165" fontId="19" fillId="0" borderId="11" xfId="28" applyNumberFormat="1" applyFont="1" applyBorder="1" applyAlignment="1">
      <alignment horizontal="center" vertical="center"/>
    </xf>
    <xf numFmtId="0" fontId="56" fillId="0" borderId="0" xfId="0" applyFont="1">
      <alignment horizontal="left" vertical="center"/>
    </xf>
    <xf numFmtId="0" fontId="53" fillId="0" borderId="0" xfId="0" applyFont="1">
      <alignment horizontal="left" vertical="center"/>
    </xf>
    <xf numFmtId="0" fontId="57" fillId="0" borderId="0" xfId="0" applyFont="1">
      <alignment horizontal="left" vertical="center"/>
    </xf>
    <xf numFmtId="0" fontId="58" fillId="0" borderId="0" xfId="3" applyFont="1" applyFill="1" applyAlignment="1" applyProtection="1">
      <alignment horizontal="left" vertical="center"/>
    </xf>
    <xf numFmtId="0" fontId="59" fillId="0" borderId="0" xfId="3" applyFont="1" applyFill="1" applyAlignment="1" applyProtection="1">
      <alignment horizontal="left" vertical="top"/>
    </xf>
    <xf numFmtId="0" fontId="60" fillId="0" borderId="0" xfId="3" applyFont="1" applyFill="1" applyAlignment="1" applyProtection="1">
      <alignment horizontal="left" vertical="center"/>
    </xf>
    <xf numFmtId="165" fontId="45" fillId="0" borderId="12" xfId="0" applyNumberFormat="1" applyFont="1" applyBorder="1" applyAlignment="1">
      <alignment vertical="center"/>
    </xf>
    <xf numFmtId="165" fontId="45" fillId="0" borderId="17" xfId="0" applyNumberFormat="1" applyFont="1" applyBorder="1" applyAlignment="1">
      <alignment vertical="center"/>
    </xf>
    <xf numFmtId="165" fontId="45" fillId="0" borderId="18" xfId="0" applyNumberFormat="1" applyFont="1" applyBorder="1" applyAlignment="1">
      <alignment vertical="center"/>
    </xf>
    <xf numFmtId="0" fontId="0" fillId="25" borderId="0" xfId="0" applyFill="1">
      <alignment horizontal="left" vertical="center"/>
    </xf>
    <xf numFmtId="164" fontId="0" fillId="25" borderId="0" xfId="0" applyNumberFormat="1" applyFill="1" applyAlignment="1">
      <alignment horizontal="center" vertical="center"/>
    </xf>
    <xf numFmtId="1" fontId="27" fillId="25" borderId="0" xfId="25" applyFill="1" applyProtection="1">
      <alignment horizontal="center" vertical="center"/>
    </xf>
    <xf numFmtId="0" fontId="40" fillId="3" borderId="5" xfId="23" applyFont="1" applyFill="1" applyBorder="1" applyAlignment="1" applyProtection="1">
      <alignment horizontal="center" vertical="center"/>
    </xf>
    <xf numFmtId="0" fontId="40" fillId="31" borderId="5" xfId="23" applyFont="1" applyFill="1" applyBorder="1" applyAlignment="1" applyProtection="1">
      <alignment horizontal="center" vertical="center"/>
    </xf>
    <xf numFmtId="0" fontId="40" fillId="31" borderId="0" xfId="23" applyFont="1" applyFill="1" applyBorder="1" applyAlignment="1" applyProtection="1">
      <alignment horizontal="center" vertical="center"/>
    </xf>
    <xf numFmtId="0" fontId="40" fillId="3" borderId="0" xfId="23" applyFont="1" applyFill="1" applyBorder="1" applyAlignment="1" applyProtection="1">
      <alignment horizontal="center" vertical="center"/>
    </xf>
    <xf numFmtId="0" fontId="17" fillId="0" borderId="0" xfId="0" applyFont="1" applyAlignment="1">
      <alignment horizontal="left" vertical="center" wrapText="1"/>
    </xf>
    <xf numFmtId="0" fontId="61" fillId="0" borderId="0" xfId="3" applyFont="1" applyFill="1" applyAlignment="1" applyProtection="1">
      <alignment horizontal="left" vertical="center"/>
    </xf>
    <xf numFmtId="43" fontId="16" fillId="0" borderId="0" xfId="28" applyFont="1" applyAlignment="1">
      <alignment horizontal="left" vertical="center"/>
    </xf>
    <xf numFmtId="43" fontId="62" fillId="0" borderId="0" xfId="28" applyFont="1" applyAlignment="1">
      <alignment horizontal="left" vertical="center"/>
    </xf>
    <xf numFmtId="0" fontId="63" fillId="0" borderId="0" xfId="0" applyFont="1">
      <alignment horizontal="left" vertical="center"/>
    </xf>
    <xf numFmtId="43" fontId="51" fillId="0" borderId="0" xfId="0" applyNumberFormat="1" applyFont="1">
      <alignment horizontal="left" vertical="center"/>
    </xf>
    <xf numFmtId="166" fontId="51" fillId="0" borderId="0" xfId="0" applyNumberFormat="1" applyFont="1">
      <alignment horizontal="left" vertical="center"/>
    </xf>
    <xf numFmtId="167" fontId="51" fillId="0" borderId="0" xfId="0" applyNumberFormat="1" applyFont="1">
      <alignment horizontal="left" vertical="center"/>
    </xf>
    <xf numFmtId="167" fontId="51" fillId="0" borderId="0" xfId="28" applyNumberFormat="1" applyFont="1" applyAlignment="1">
      <alignment horizontal="left" vertical="center"/>
    </xf>
    <xf numFmtId="0" fontId="40" fillId="26" borderId="5" xfId="19" applyFont="1" applyFill="1" applyBorder="1" applyAlignment="1" applyProtection="1">
      <alignment horizontal="center" vertical="center"/>
    </xf>
    <xf numFmtId="0" fontId="15" fillId="0" borderId="0" xfId="0" applyFont="1">
      <alignment horizontal="left" vertical="center"/>
    </xf>
    <xf numFmtId="0" fontId="64" fillId="0" borderId="0" xfId="0" applyFont="1" applyAlignment="1">
      <alignment horizontal="center" vertical="center"/>
    </xf>
    <xf numFmtId="0" fontId="15" fillId="0" borderId="0" xfId="0" applyFont="1" applyAlignment="1"/>
    <xf numFmtId="0" fontId="15" fillId="0" borderId="0" xfId="0" applyFont="1" applyAlignment="1">
      <alignment vertical="center" wrapText="1"/>
    </xf>
    <xf numFmtId="43" fontId="15" fillId="0" borderId="0" xfId="26" applyNumberFormat="1" applyFont="1">
      <alignment horizontal="left" vertical="center" wrapText="1" indent="2"/>
    </xf>
    <xf numFmtId="0" fontId="14" fillId="0" borderId="0" xfId="0" applyFont="1">
      <alignment horizontal="left" vertical="center"/>
    </xf>
    <xf numFmtId="0" fontId="65" fillId="0" borderId="0" xfId="3" applyFont="1" applyFill="1" applyAlignment="1" applyProtection="1">
      <alignment horizontal="left" vertical="center"/>
    </xf>
    <xf numFmtId="0" fontId="66" fillId="0" borderId="2" xfId="1" applyFont="1" applyBorder="1" applyAlignment="1" applyProtection="1">
      <alignment vertical="center"/>
    </xf>
    <xf numFmtId="0" fontId="14" fillId="0" borderId="2" xfId="0" applyFont="1" applyBorder="1">
      <alignment horizontal="left" vertical="center"/>
    </xf>
    <xf numFmtId="0" fontId="28" fillId="15" borderId="5" xfId="12" applyBorder="1" applyAlignment="1" applyProtection="1">
      <alignment horizontal="center" vertical="center"/>
    </xf>
    <xf numFmtId="0" fontId="28" fillId="26" borderId="5" xfId="19" applyFill="1" applyBorder="1" applyAlignment="1" applyProtection="1">
      <alignment horizontal="center" vertical="center"/>
    </xf>
    <xf numFmtId="0" fontId="14" fillId="0" borderId="6" xfId="21" applyFont="1" applyFill="1" applyBorder="1" applyAlignment="1" applyProtection="1">
      <alignment vertical="center"/>
    </xf>
    <xf numFmtId="0" fontId="14" fillId="0" borderId="7" xfId="21" applyFont="1" applyFill="1" applyBorder="1" applyAlignment="1" applyProtection="1">
      <alignment vertical="center"/>
    </xf>
    <xf numFmtId="0" fontId="28" fillId="13" borderId="5" xfId="23" applyBorder="1" applyAlignment="1" applyProtection="1">
      <alignment horizontal="center" vertical="center"/>
    </xf>
    <xf numFmtId="0" fontId="67" fillId="0" borderId="5" xfId="0" applyFont="1" applyBorder="1">
      <alignment horizontal="left" vertical="center"/>
    </xf>
    <xf numFmtId="0" fontId="62" fillId="0" borderId="6" xfId="0" applyFont="1" applyBorder="1">
      <alignment horizontal="left" vertical="center"/>
    </xf>
    <xf numFmtId="0" fontId="62" fillId="0" borderId="7" xfId="0" applyFont="1" applyBorder="1">
      <alignment horizontal="left" vertical="center"/>
    </xf>
    <xf numFmtId="0" fontId="28" fillId="0" borderId="13" xfId="0" applyFont="1" applyBorder="1">
      <alignment horizontal="left" vertical="center"/>
    </xf>
    <xf numFmtId="0" fontId="14" fillId="0" borderId="1" xfId="0" applyFont="1" applyBorder="1">
      <alignment horizontal="left" vertical="center"/>
    </xf>
    <xf numFmtId="0" fontId="14" fillId="0" borderId="8" xfId="0" applyFont="1" applyBorder="1">
      <alignment horizontal="left" vertical="center"/>
    </xf>
    <xf numFmtId="0" fontId="14" fillId="0" borderId="9" xfId="0" applyFont="1" applyBorder="1">
      <alignment horizontal="left" vertical="center"/>
    </xf>
    <xf numFmtId="0" fontId="14" fillId="0" borderId="10" xfId="0" applyFont="1" applyBorder="1">
      <alignment horizontal="left" vertical="center"/>
    </xf>
    <xf numFmtId="165" fontId="28" fillId="0" borderId="14" xfId="28" applyNumberFormat="1" applyFont="1" applyBorder="1" applyAlignment="1">
      <alignment horizontal="left" vertical="center"/>
    </xf>
    <xf numFmtId="0" fontId="43" fillId="0" borderId="0" xfId="3" applyFont="1" applyFill="1" applyProtection="1">
      <alignment horizontal="center" vertical="center"/>
    </xf>
    <xf numFmtId="0" fontId="68" fillId="0" borderId="0" xfId="0" applyFont="1">
      <alignment horizontal="left" vertical="center"/>
    </xf>
    <xf numFmtId="0" fontId="69" fillId="0" borderId="0" xfId="0" applyFont="1">
      <alignment horizontal="left" vertical="center"/>
    </xf>
    <xf numFmtId="43" fontId="13" fillId="0" borderId="0" xfId="26" applyNumberFormat="1" applyFont="1">
      <alignment horizontal="left" vertical="center" wrapText="1" indent="2"/>
    </xf>
    <xf numFmtId="165" fontId="68" fillId="0" borderId="0" xfId="28" applyNumberFormat="1" applyFont="1" applyAlignment="1">
      <alignment horizontal="left" vertical="center"/>
    </xf>
    <xf numFmtId="0" fontId="26" fillId="0" borderId="0" xfId="28" applyNumberFormat="1" applyFont="1" applyAlignment="1">
      <alignment horizontal="center" vertical="center"/>
    </xf>
    <xf numFmtId="0" fontId="13" fillId="0" borderId="0" xfId="0" applyFont="1">
      <alignment horizontal="left" vertical="center"/>
    </xf>
    <xf numFmtId="0" fontId="26" fillId="0" borderId="0" xfId="0" applyFont="1" applyAlignment="1">
      <alignment horizontal="center" vertical="center"/>
    </xf>
    <xf numFmtId="0" fontId="24" fillId="0" borderId="11" xfId="0" applyFont="1" applyBorder="1" applyAlignment="1">
      <alignment horizontal="center" vertical="center"/>
    </xf>
    <xf numFmtId="0" fontId="12" fillId="0" borderId="11" xfId="0" applyFont="1" applyBorder="1" applyAlignment="1">
      <alignment horizontal="center" vertical="center"/>
    </xf>
    <xf numFmtId="0" fontId="11" fillId="0" borderId="0" xfId="0" applyFont="1" applyAlignment="1">
      <alignment vertical="center" wrapText="1"/>
    </xf>
    <xf numFmtId="43" fontId="11" fillId="0" borderId="0" xfId="0" applyNumberFormat="1" applyFont="1" applyAlignment="1">
      <alignment horizontal="left" vertical="center" wrapText="1" indent="2"/>
    </xf>
    <xf numFmtId="0" fontId="0" fillId="0" borderId="0" xfId="0" applyAlignment="1">
      <alignment horizontal="center" vertical="center"/>
    </xf>
    <xf numFmtId="0" fontId="26" fillId="0" borderId="11" xfId="0" applyFont="1" applyBorder="1" applyAlignment="1">
      <alignment horizontal="center" vertical="center"/>
    </xf>
    <xf numFmtId="0" fontId="0" fillId="0" borderId="0" xfId="0" applyAlignment="1">
      <alignment horizontal="center" vertical="center"/>
    </xf>
    <xf numFmtId="0" fontId="10" fillId="0" borderId="0" xfId="26" applyFont="1" applyAlignment="1">
      <alignment horizontal="left" vertical="center" wrapText="1"/>
    </xf>
    <xf numFmtId="0" fontId="10" fillId="0" borderId="0" xfId="26" applyFont="1" applyAlignment="1">
      <alignment vertical="center" wrapText="1"/>
    </xf>
    <xf numFmtId="165" fontId="68" fillId="0" borderId="11" xfId="28" applyNumberFormat="1" applyFont="1" applyBorder="1" applyAlignment="1">
      <alignment horizontal="left" vertical="center"/>
    </xf>
    <xf numFmtId="0" fontId="10" fillId="0" borderId="11" xfId="0" applyFont="1" applyBorder="1">
      <alignment horizontal="left" vertical="center"/>
    </xf>
    <xf numFmtId="1" fontId="70" fillId="0" borderId="11" xfId="0" applyNumberFormat="1" applyFont="1" applyBorder="1" applyAlignment="1">
      <alignment horizontal="center" vertical="center"/>
    </xf>
    <xf numFmtId="0" fontId="26" fillId="0" borderId="0" xfId="0" applyFont="1" applyAlignment="1">
      <alignment horizontal="left" vertical="center"/>
    </xf>
    <xf numFmtId="0" fontId="26" fillId="0" borderId="11" xfId="0" applyFont="1" applyBorder="1" applyAlignment="1">
      <alignment horizontal="left" vertical="center"/>
    </xf>
    <xf numFmtId="0" fontId="10" fillId="0" borderId="11" xfId="0" applyFont="1" applyBorder="1" applyAlignment="1">
      <alignment horizontal="left" vertical="center"/>
    </xf>
    <xf numFmtId="0" fontId="0" fillId="0" borderId="0" xfId="0" applyAlignment="1">
      <alignment horizontal="left" vertical="center"/>
    </xf>
    <xf numFmtId="0" fontId="10" fillId="0" borderId="0" xfId="0" applyFont="1" applyAlignment="1">
      <alignment vertical="center" wrapText="1"/>
    </xf>
    <xf numFmtId="43" fontId="24" fillId="0" borderId="15" xfId="28" applyFont="1" applyBorder="1" applyAlignment="1">
      <alignment horizontal="center" vertical="center"/>
    </xf>
    <xf numFmtId="43" fontId="28" fillId="0" borderId="11" xfId="26" applyNumberFormat="1" applyFont="1" applyFill="1" applyBorder="1" applyAlignment="1">
      <alignment horizontal="left" vertical="center" wrapText="1" indent="2"/>
    </xf>
    <xf numFmtId="165" fontId="45" fillId="24" borderId="16" xfId="28" applyNumberFormat="1" applyFont="1" applyFill="1" applyBorder="1" applyAlignment="1">
      <alignment horizontal="left" vertical="center"/>
    </xf>
    <xf numFmtId="165" fontId="45" fillId="24" borderId="11" xfId="28" applyNumberFormat="1" applyFont="1" applyFill="1" applyBorder="1" applyAlignment="1">
      <alignment horizontal="left" vertical="center"/>
    </xf>
    <xf numFmtId="0" fontId="0" fillId="0" borderId="0" xfId="0" applyAlignment="1">
      <alignment horizontal="center" vertical="center"/>
    </xf>
    <xf numFmtId="0" fontId="9" fillId="0" borderId="11" xfId="0" applyFont="1" applyBorder="1" applyAlignment="1">
      <alignment horizontal="center" vertical="center"/>
    </xf>
    <xf numFmtId="0" fontId="0" fillId="0" borderId="0" xfId="0" applyAlignment="1">
      <alignment horizontal="center" vertical="center"/>
    </xf>
    <xf numFmtId="0" fontId="8" fillId="0" borderId="11" xfId="0" applyFont="1" applyBorder="1">
      <alignment horizontal="left" vertical="center"/>
    </xf>
    <xf numFmtId="14" fontId="26" fillId="0" borderId="11" xfId="0" applyNumberFormat="1" applyFont="1" applyBorder="1">
      <alignment horizontal="left" vertical="center"/>
    </xf>
    <xf numFmtId="0" fontId="0" fillId="0" borderId="0" xfId="0" applyAlignment="1">
      <alignment horizontal="center" vertical="center"/>
    </xf>
    <xf numFmtId="0" fontId="0" fillId="32" borderId="0" xfId="0" applyFill="1" applyAlignment="1">
      <alignment horizontal="center" vertical="center"/>
    </xf>
    <xf numFmtId="0" fontId="47" fillId="0" borderId="0" xfId="0" applyFont="1">
      <alignment horizontal="left" vertical="center"/>
    </xf>
    <xf numFmtId="0" fontId="71" fillId="0" borderId="11" xfId="0" applyFont="1" applyBorder="1" applyAlignment="1">
      <alignment horizontal="center" vertical="center"/>
    </xf>
    <xf numFmtId="168" fontId="72" fillId="0" borderId="11" xfId="28" applyNumberFormat="1" applyFont="1" applyBorder="1" applyAlignment="1">
      <alignment horizontal="left" vertical="center"/>
    </xf>
    <xf numFmtId="43" fontId="72" fillId="0" borderId="11" xfId="28" applyFont="1" applyBorder="1" applyAlignment="1">
      <alignment horizontal="left" vertical="center"/>
    </xf>
    <xf numFmtId="0" fontId="45" fillId="0" borderId="11" xfId="0" applyFont="1" applyBorder="1">
      <alignment horizontal="left" vertical="center"/>
    </xf>
    <xf numFmtId="0" fontId="45" fillId="0" borderId="11" xfId="0" applyFont="1" applyBorder="1" applyAlignment="1">
      <alignment horizontal="center" vertical="center"/>
    </xf>
    <xf numFmtId="0" fontId="28" fillId="0" borderId="11" xfId="26" applyFont="1" applyFill="1" applyBorder="1" applyAlignment="1">
      <alignment horizontal="left" vertical="center" wrapText="1" indent="2"/>
    </xf>
    <xf numFmtId="0" fontId="28" fillId="33" borderId="11" xfId="26" applyNumberFormat="1" applyFont="1" applyFill="1" applyBorder="1" applyAlignment="1">
      <alignment horizontal="left" vertical="center" wrapText="1" indent="2"/>
    </xf>
    <xf numFmtId="0" fontId="28" fillId="0" borderId="11" xfId="26" applyNumberFormat="1" applyFont="1" applyFill="1" applyBorder="1" applyAlignment="1">
      <alignment horizontal="left" vertical="center" wrapText="1" indent="2"/>
    </xf>
    <xf numFmtId="0" fontId="28" fillId="21" borderId="11" xfId="26" applyNumberFormat="1" applyFont="1" applyFill="1" applyBorder="1" applyAlignment="1">
      <alignment horizontal="left" vertical="center" wrapText="1" indent="2"/>
    </xf>
    <xf numFmtId="0" fontId="0" fillId="0" borderId="0" xfId="0" applyAlignment="1">
      <alignment horizontal="center" vertical="center"/>
    </xf>
    <xf numFmtId="43" fontId="7" fillId="0" borderId="11" xfId="28" applyFont="1" applyBorder="1" applyAlignment="1">
      <alignment horizontal="center" vertical="center"/>
    </xf>
    <xf numFmtId="165" fontId="45" fillId="34" borderId="11" xfId="28" applyNumberFormat="1" applyFont="1" applyFill="1" applyBorder="1" applyAlignment="1">
      <alignment horizontal="left" vertical="center"/>
    </xf>
    <xf numFmtId="0" fontId="0" fillId="0" borderId="0" xfId="0" applyAlignment="1">
      <alignment horizontal="center" vertical="center"/>
    </xf>
    <xf numFmtId="0" fontId="45" fillId="0" borderId="11" xfId="0" applyFont="1" applyBorder="1" applyAlignment="1">
      <alignment horizontal="center" vertical="center"/>
    </xf>
    <xf numFmtId="0" fontId="26" fillId="0" borderId="11" xfId="0" applyFont="1" applyBorder="1" applyAlignment="1">
      <alignment horizontal="center" vertical="center"/>
    </xf>
    <xf numFmtId="0" fontId="0" fillId="0" borderId="0" xfId="0" applyAlignment="1">
      <alignment horizontal="center" vertical="center"/>
    </xf>
    <xf numFmtId="0" fontId="0" fillId="0" borderId="0" xfId="0" applyFill="1" applyAlignment="1">
      <alignment horizontal="center" vertical="center"/>
    </xf>
    <xf numFmtId="165" fontId="45" fillId="0" borderId="11" xfId="28" applyNumberFormat="1" applyFont="1" applyFill="1" applyBorder="1" applyAlignment="1">
      <alignment horizontal="left"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6" fillId="0" borderId="0" xfId="26" applyFont="1" applyAlignment="1">
      <alignment vertical="center" wrapText="1"/>
    </xf>
    <xf numFmtId="0" fontId="74" fillId="0" borderId="0" xfId="0" applyFont="1">
      <alignment horizontal="left" vertical="center"/>
    </xf>
    <xf numFmtId="0" fontId="75" fillId="0" borderId="0" xfId="0" applyFont="1">
      <alignment horizontal="left" vertical="center"/>
    </xf>
    <xf numFmtId="0" fontId="74" fillId="0" borderId="11" xfId="0" applyFont="1" applyBorder="1">
      <alignment horizontal="left" vertical="center"/>
    </xf>
    <xf numFmtId="0" fontId="51" fillId="0" borderId="0" xfId="26" applyFont="1" applyAlignment="1">
      <alignment horizontal="left" vertical="center" wrapText="1"/>
    </xf>
    <xf numFmtId="43" fontId="51" fillId="0" borderId="0" xfId="26" applyNumberFormat="1" applyFont="1">
      <alignment horizontal="left" vertical="center" wrapText="1" indent="2"/>
    </xf>
    <xf numFmtId="43" fontId="51" fillId="0" borderId="11" xfId="28" applyFont="1" applyBorder="1" applyAlignment="1">
      <alignment horizontal="left" vertical="center"/>
    </xf>
    <xf numFmtId="165" fontId="51" fillId="0" borderId="11" xfId="28" applyNumberFormat="1" applyFont="1" applyBorder="1" applyAlignment="1">
      <alignment horizontal="left" vertical="center"/>
    </xf>
    <xf numFmtId="165" fontId="51" fillId="0" borderId="12" xfId="28" applyNumberFormat="1" applyFont="1" applyBorder="1" applyAlignment="1">
      <alignment horizontal="center" vertical="center"/>
    </xf>
    <xf numFmtId="43" fontId="51" fillId="0" borderId="11" xfId="0" applyNumberFormat="1" applyFont="1" applyBorder="1">
      <alignment horizontal="left" vertical="center"/>
    </xf>
    <xf numFmtId="0" fontId="51" fillId="0" borderId="11" xfId="0" applyFont="1" applyBorder="1">
      <alignment horizontal="left" vertical="center"/>
    </xf>
    <xf numFmtId="1" fontId="76" fillId="0" borderId="11" xfId="0" applyNumberFormat="1" applyFont="1" applyBorder="1" applyAlignment="1">
      <alignment horizontal="center" vertical="center"/>
    </xf>
    <xf numFmtId="0" fontId="51" fillId="0" borderId="11" xfId="0" applyFont="1" applyBorder="1" applyAlignment="1">
      <alignment horizontal="left" vertical="center"/>
    </xf>
    <xf numFmtId="14" fontId="51" fillId="0" borderId="11" xfId="0" applyNumberFormat="1" applyFont="1" applyBorder="1">
      <alignment horizontal="left" vertical="center"/>
    </xf>
    <xf numFmtId="0" fontId="77" fillId="0" borderId="11" xfId="0" applyFont="1" applyBorder="1">
      <alignment horizontal="left" vertical="center"/>
    </xf>
    <xf numFmtId="0" fontId="6" fillId="0" borderId="11" xfId="0" applyFont="1" applyBorder="1" applyAlignment="1">
      <alignment horizontal="left" vertical="center"/>
    </xf>
    <xf numFmtId="0" fontId="6" fillId="0" borderId="11" xfId="0" applyFont="1" applyBorder="1">
      <alignment horizontal="left" vertical="center"/>
    </xf>
    <xf numFmtId="0" fontId="5" fillId="0" borderId="11" xfId="0" applyFont="1" applyBorder="1" applyAlignment="1">
      <alignment horizontal="left" vertical="center"/>
    </xf>
    <xf numFmtId="0" fontId="0" fillId="0" borderId="0" xfId="0" applyAlignment="1">
      <alignment horizontal="center" vertical="center"/>
    </xf>
    <xf numFmtId="0" fontId="26" fillId="0" borderId="11" xfId="0" applyFont="1" applyBorder="1" applyAlignment="1">
      <alignment horizontal="center" vertical="center"/>
    </xf>
    <xf numFmtId="0" fontId="0" fillId="35" borderId="0" xfId="0" applyFill="1" applyAlignment="1">
      <alignment horizontal="center" vertical="center"/>
    </xf>
    <xf numFmtId="0" fontId="0" fillId="36" borderId="0" xfId="0" applyFill="1" applyAlignment="1">
      <alignment horizontal="center" vertical="center"/>
    </xf>
    <xf numFmtId="0" fontId="51" fillId="0" borderId="0" xfId="26" applyFont="1" applyAlignment="1">
      <alignment vertical="center" wrapText="1"/>
    </xf>
    <xf numFmtId="0" fontId="4" fillId="0" borderId="0" xfId="0" applyFont="1">
      <alignment horizontal="left"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3" fillId="0" borderId="0" xfId="26" applyFont="1" applyAlignment="1">
      <alignment vertical="center" wrapText="1"/>
    </xf>
    <xf numFmtId="0" fontId="78" fillId="0" borderId="0" xfId="0" applyFont="1">
      <alignment horizontal="left" vertical="center"/>
    </xf>
    <xf numFmtId="43" fontId="78" fillId="0" borderId="0" xfId="28" applyFont="1" applyAlignment="1">
      <alignment horizontal="left" vertical="center"/>
    </xf>
    <xf numFmtId="43" fontId="79" fillId="0" borderId="0" xfId="28" applyFont="1" applyAlignment="1">
      <alignment horizontal="left" vertical="center"/>
    </xf>
    <xf numFmtId="169" fontId="78" fillId="0" borderId="0" xfId="28" applyNumberFormat="1" applyFont="1" applyAlignment="1">
      <alignment horizontal="left" vertical="center"/>
    </xf>
    <xf numFmtId="43" fontId="80" fillId="0" borderId="0" xfId="28" applyFont="1" applyAlignment="1">
      <alignment horizontal="left" vertical="center"/>
    </xf>
    <xf numFmtId="0" fontId="80" fillId="0" borderId="0" xfId="0" applyFont="1">
      <alignment horizontal="left" vertical="center"/>
    </xf>
    <xf numFmtId="169" fontId="80" fillId="0" borderId="0" xfId="28" applyNumberFormat="1" applyFont="1" applyAlignment="1">
      <alignment horizontal="left" vertical="center"/>
    </xf>
    <xf numFmtId="0" fontId="14" fillId="0" borderId="11" xfId="0" applyFont="1" applyBorder="1">
      <alignment horizontal="left" vertical="center"/>
    </xf>
    <xf numFmtId="0" fontId="0" fillId="0" borderId="0" xfId="0" applyAlignment="1">
      <alignment horizontal="center" vertical="center"/>
    </xf>
    <xf numFmtId="0" fontId="0" fillId="0" borderId="0" xfId="0" applyAlignment="1">
      <alignment horizontal="center" vertical="center"/>
    </xf>
    <xf numFmtId="0" fontId="2" fillId="0" borderId="0" xfId="26" applyFont="1" applyAlignment="1">
      <alignment vertical="center" wrapText="1"/>
    </xf>
    <xf numFmtId="0" fontId="2" fillId="0" borderId="11" xfId="0" applyFont="1" applyBorder="1" applyAlignment="1">
      <alignment horizontal="left" vertical="center"/>
    </xf>
    <xf numFmtId="0" fontId="2" fillId="0" borderId="11" xfId="0" applyFont="1" applyBorder="1">
      <alignment horizontal="left" vertical="center"/>
    </xf>
    <xf numFmtId="0" fontId="2" fillId="0" borderId="0" xfId="0" applyFont="1" applyAlignment="1">
      <alignment vertical="center" wrapText="1"/>
    </xf>
    <xf numFmtId="43" fontId="2" fillId="0" borderId="0" xfId="0" applyNumberFormat="1" applyFont="1" applyAlignment="1">
      <alignment horizontal="left" vertical="center" wrapText="1" indent="2"/>
    </xf>
    <xf numFmtId="0" fontId="2" fillId="0" borderId="0" xfId="26" applyNumberFormat="1" applyFont="1" applyFill="1" applyBorder="1">
      <alignment horizontal="left" vertical="center" wrapText="1" indent="2"/>
    </xf>
    <xf numFmtId="0" fontId="32" fillId="0" borderId="0" xfId="3" applyFill="1" applyAlignment="1" applyProtection="1">
      <alignment horizontal="left" vertical="center"/>
    </xf>
    <xf numFmtId="0" fontId="27" fillId="0" borderId="0" xfId="21" applyFill="1" applyAlignment="1" applyProtection="1">
      <alignment horizontal="left" vertical="center" indent="1"/>
    </xf>
    <xf numFmtId="0" fontId="27" fillId="21" borderId="0" xfId="21" applyFill="1" applyAlignment="1" applyProtection="1">
      <alignment horizontal="left" vertical="center" indent="1"/>
    </xf>
    <xf numFmtId="165" fontId="47" fillId="22" borderId="8" xfId="28" applyNumberFormat="1" applyFont="1" applyFill="1" applyBorder="1" applyAlignment="1">
      <alignment horizontal="center" vertical="center"/>
    </xf>
    <xf numFmtId="165" fontId="47" fillId="22" borderId="9" xfId="28" applyNumberFormat="1" applyFont="1" applyFill="1" applyBorder="1" applyAlignment="1">
      <alignment horizontal="center" vertical="center"/>
    </xf>
    <xf numFmtId="165" fontId="47" fillId="22" borderId="10" xfId="28" applyNumberFormat="1" applyFont="1" applyFill="1" applyBorder="1" applyAlignment="1">
      <alignment horizontal="center" vertical="center"/>
    </xf>
    <xf numFmtId="0" fontId="0" fillId="0" borderId="0" xfId="0" applyAlignment="1">
      <alignment horizontal="center" vertical="center"/>
    </xf>
    <xf numFmtId="43" fontId="47" fillId="0" borderId="8" xfId="28" applyFont="1" applyBorder="1" applyAlignment="1">
      <alignment horizontal="center" vertical="center"/>
    </xf>
    <xf numFmtId="43" fontId="47" fillId="0" borderId="9" xfId="28" applyFont="1" applyBorder="1" applyAlignment="1">
      <alignment horizontal="center" vertical="center"/>
    </xf>
    <xf numFmtId="17" fontId="49" fillId="0" borderId="0" xfId="3" applyNumberFormat="1" applyFont="1" applyFill="1" applyBorder="1" applyProtection="1">
      <alignment horizontal="center" vertical="center"/>
    </xf>
    <xf numFmtId="0" fontId="27" fillId="0" borderId="6" xfId="21" applyFill="1" applyBorder="1" applyAlignment="1" applyProtection="1">
      <alignment horizontal="left" vertical="center" indent="1"/>
    </xf>
    <xf numFmtId="0" fontId="27" fillId="0" borderId="7" xfId="21" applyFill="1" applyBorder="1" applyAlignment="1" applyProtection="1">
      <alignment horizontal="left" vertical="center" indent="1"/>
    </xf>
    <xf numFmtId="0" fontId="0" fillId="0" borderId="9" xfId="0" applyBorder="1" applyAlignment="1">
      <alignment horizontal="center" vertical="center"/>
    </xf>
    <xf numFmtId="0" fontId="0" fillId="0" borderId="10" xfId="0" applyBorder="1" applyAlignment="1">
      <alignment horizontal="center" vertical="center"/>
    </xf>
    <xf numFmtId="0" fontId="26" fillId="0" borderId="6" xfId="21" applyFont="1" applyFill="1" applyBorder="1" applyAlignment="1" applyProtection="1">
      <alignment horizontal="center" vertical="center"/>
    </xf>
    <xf numFmtId="0" fontId="26" fillId="0" borderId="7" xfId="21" applyFont="1" applyFill="1" applyBorder="1" applyAlignment="1" applyProtection="1">
      <alignment horizontal="center" vertical="center"/>
    </xf>
    <xf numFmtId="0" fontId="18" fillId="0" borderId="6" xfId="21" applyFont="1" applyFill="1" applyBorder="1" applyAlignment="1" applyProtection="1">
      <alignment horizontal="left" vertical="center"/>
    </xf>
    <xf numFmtId="0" fontId="26" fillId="0" borderId="6" xfId="21" applyFont="1" applyFill="1" applyBorder="1" applyAlignment="1" applyProtection="1">
      <alignment horizontal="left" vertical="center"/>
    </xf>
    <xf numFmtId="0" fontId="26" fillId="0" borderId="7" xfId="21" applyFont="1" applyFill="1" applyBorder="1" applyAlignment="1" applyProtection="1">
      <alignment horizontal="left" vertical="center"/>
    </xf>
    <xf numFmtId="0" fontId="0" fillId="0" borderId="9" xfId="0" applyBorder="1" applyAlignment="1">
      <alignment vertical="center"/>
    </xf>
    <xf numFmtId="0" fontId="0" fillId="0" borderId="10" xfId="0" applyBorder="1" applyAlignment="1">
      <alignment vertical="center"/>
    </xf>
    <xf numFmtId="0" fontId="18" fillId="0" borderId="6" xfId="21" applyFont="1" applyFill="1" applyBorder="1" applyAlignment="1" applyProtection="1">
      <alignment horizontal="left" vertical="center" wrapText="1"/>
    </xf>
    <xf numFmtId="0" fontId="18" fillId="0" borderId="7" xfId="21" applyFont="1" applyFill="1" applyBorder="1" applyAlignment="1" applyProtection="1">
      <alignment horizontal="left" vertical="center" wrapText="1"/>
    </xf>
    <xf numFmtId="0" fontId="18" fillId="0" borderId="9" xfId="21" applyFont="1" applyFill="1" applyBorder="1" applyAlignment="1" applyProtection="1">
      <alignment horizontal="left" vertical="center" wrapText="1"/>
    </xf>
    <xf numFmtId="0" fontId="18" fillId="0" borderId="10" xfId="21" applyFont="1" applyFill="1" applyBorder="1" applyAlignment="1" applyProtection="1">
      <alignment horizontal="left" vertical="center" wrapText="1"/>
    </xf>
    <xf numFmtId="0" fontId="53" fillId="0" borderId="0" xfId="0" applyFont="1" applyAlignment="1">
      <alignment horizontal="left" vertical="center" wrapText="1"/>
    </xf>
    <xf numFmtId="0" fontId="43" fillId="0" borderId="0" xfId="3" applyFont="1" applyFill="1" applyAlignment="1" applyProtection="1">
      <alignment horizontal="left" vertical="center"/>
    </xf>
    <xf numFmtId="0" fontId="14" fillId="0" borderId="6" xfId="21" applyFont="1" applyFill="1" applyBorder="1" applyAlignment="1" applyProtection="1">
      <alignment horizontal="left" vertical="center" indent="1"/>
    </xf>
    <xf numFmtId="0" fontId="14" fillId="0" borderId="7" xfId="21" applyFont="1" applyFill="1" applyBorder="1" applyAlignment="1" applyProtection="1">
      <alignment horizontal="left" vertical="center" indent="1"/>
    </xf>
    <xf numFmtId="0" fontId="14" fillId="0" borderId="6" xfId="21" applyFont="1" applyFill="1" applyBorder="1" applyAlignment="1" applyProtection="1">
      <alignment horizontal="center" vertical="center"/>
    </xf>
    <xf numFmtId="0" fontId="14" fillId="0" borderId="7" xfId="21" applyFont="1" applyFill="1" applyBorder="1" applyAlignment="1" applyProtection="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43" fontId="14" fillId="0" borderId="9" xfId="28" applyFont="1" applyBorder="1" applyAlignment="1">
      <alignment horizontal="center" vertical="center"/>
    </xf>
    <xf numFmtId="165" fontId="62" fillId="22" borderId="8" xfId="28" applyNumberFormat="1" applyFont="1" applyFill="1" applyBorder="1" applyAlignment="1">
      <alignment horizontal="center" vertical="center"/>
    </xf>
    <xf numFmtId="165" fontId="62" fillId="22" borderId="9" xfId="28" applyNumberFormat="1" applyFont="1" applyFill="1" applyBorder="1" applyAlignment="1">
      <alignment horizontal="center" vertical="center"/>
    </xf>
    <xf numFmtId="165" fontId="62" fillId="22" borderId="10" xfId="28" applyNumberFormat="1" applyFont="1" applyFill="1" applyBorder="1" applyAlignment="1">
      <alignment horizontal="center" vertical="center"/>
    </xf>
    <xf numFmtId="43" fontId="62" fillId="0" borderId="8" xfId="28" applyFont="1" applyBorder="1" applyAlignment="1">
      <alignment horizontal="center" vertical="center"/>
    </xf>
    <xf numFmtId="43" fontId="62" fillId="0" borderId="9" xfId="28" applyFont="1" applyBorder="1" applyAlignment="1">
      <alignment horizontal="center" vertical="center"/>
    </xf>
    <xf numFmtId="0" fontId="45" fillId="0" borderId="12" xfId="0" applyFont="1" applyBorder="1" applyAlignment="1">
      <alignment horizontal="center" vertical="center"/>
    </xf>
    <xf numFmtId="0" fontId="45" fillId="0" borderId="17" xfId="0" applyFont="1" applyBorder="1" applyAlignment="1">
      <alignment horizontal="center" vertical="center"/>
    </xf>
    <xf numFmtId="0" fontId="45" fillId="0" borderId="18" xfId="0" applyFont="1" applyBorder="1" applyAlignment="1">
      <alignment horizontal="center" vertical="center"/>
    </xf>
    <xf numFmtId="168" fontId="45" fillId="0" borderId="12" xfId="28" applyNumberFormat="1" applyFont="1" applyBorder="1" applyAlignment="1">
      <alignment horizontal="center" vertical="center"/>
    </xf>
    <xf numFmtId="168" fontId="45" fillId="0" borderId="17" xfId="28" applyNumberFormat="1" applyFont="1" applyBorder="1" applyAlignment="1">
      <alignment horizontal="center" vertical="center"/>
    </xf>
    <xf numFmtId="168" fontId="45" fillId="0" borderId="18" xfId="28" applyNumberFormat="1" applyFont="1" applyBorder="1" applyAlignment="1">
      <alignment horizontal="center" vertical="center"/>
    </xf>
    <xf numFmtId="0" fontId="45" fillId="0" borderId="11" xfId="0" applyFont="1" applyBorder="1" applyAlignment="1">
      <alignment horizontal="center" vertical="center"/>
    </xf>
    <xf numFmtId="0" fontId="4" fillId="0" borderId="6" xfId="21" applyFont="1" applyFill="1" applyBorder="1" applyAlignment="1" applyProtection="1">
      <alignment horizontal="left" vertical="center" indent="1"/>
    </xf>
    <xf numFmtId="43" fontId="73" fillId="0" borderId="11" xfId="0" applyNumberFormat="1" applyFont="1" applyBorder="1" applyAlignment="1">
      <alignment horizontal="center" vertical="center"/>
    </xf>
    <xf numFmtId="0" fontId="13" fillId="0" borderId="11" xfId="0" applyFont="1" applyBorder="1" applyAlignment="1">
      <alignment horizontal="center" vertical="center"/>
    </xf>
    <xf numFmtId="0" fontId="26" fillId="0" borderId="11" xfId="0" applyFont="1" applyBorder="1" applyAlignment="1">
      <alignment horizontal="center" vertical="center"/>
    </xf>
    <xf numFmtId="0" fontId="10" fillId="0" borderId="11" xfId="0" applyFont="1" applyBorder="1" applyAlignment="1">
      <alignment horizontal="center" vertical="center"/>
    </xf>
    <xf numFmtId="43" fontId="47" fillId="0" borderId="0" xfId="28" applyFont="1" applyAlignment="1">
      <alignment horizontal="left" vertical="center"/>
    </xf>
    <xf numFmtId="43" fontId="45" fillId="0" borderId="0" xfId="28" applyFont="1" applyAlignment="1">
      <alignment horizontal="left" vertical="center"/>
    </xf>
    <xf numFmtId="169" fontId="45" fillId="0" borderId="0" xfId="28" applyNumberFormat="1" applyFont="1" applyAlignment="1">
      <alignment horizontal="left" vertical="center"/>
    </xf>
    <xf numFmtId="0" fontId="81" fillId="0" borderId="0" xfId="0" applyFont="1">
      <alignment horizontal="left" vertical="center"/>
    </xf>
    <xf numFmtId="0" fontId="1" fillId="0" borderId="11" xfId="0" applyFont="1" applyBorder="1">
      <alignment horizontal="left" vertical="center"/>
    </xf>
    <xf numFmtId="0" fontId="1" fillId="0" borderId="11" xfId="0" applyFont="1" applyBorder="1" applyAlignment="1">
      <alignment horizontal="left" vertical="center"/>
    </xf>
  </cellXfs>
  <cellStyles count="29">
    <cellStyle name="20% - Accent1" xfId="15" builtinId="30" customBuiltin="1"/>
    <cellStyle name="20% - Accent3" xfId="21" builtinId="38" customBuiltin="1"/>
    <cellStyle name="20% - Accent4" xfId="7" builtinId="42" customBuiltin="1"/>
    <cellStyle name="20% - Accent6" xfId="11" builtinId="50" customBuiltin="1"/>
    <cellStyle name="40% - Accent1" xfId="16" builtinId="31" customBuiltin="1"/>
    <cellStyle name="40% - Accent2" xfId="19" builtinId="35" customBuiltin="1"/>
    <cellStyle name="40% - Accent3" xfId="22" builtinId="39" customBuiltin="1"/>
    <cellStyle name="40% - Accent4" xfId="8" builtinId="43" customBuiltin="1"/>
    <cellStyle name="40% - Accent5" xfId="24" builtinId="47" customBuiltin="1"/>
    <cellStyle name="40% - Accent6" xfId="12" builtinId="51" customBuiltin="1"/>
    <cellStyle name="60% - Accent1" xfId="17" builtinId="32" customBuiltin="1"/>
    <cellStyle name="60% - Accent3" xfId="23" builtinId="40" customBuiltin="1"/>
    <cellStyle name="60% - Accent4" xfId="9" builtinId="44" customBuiltin="1"/>
    <cellStyle name="60% - Accent6" xfId="13" builtinId="52" customBuiltin="1"/>
    <cellStyle name="Accent1" xfId="14" builtinId="29" customBuiltin="1"/>
    <cellStyle name="Accent2" xfId="18" builtinId="33" customBuiltin="1"/>
    <cellStyle name="Accent3" xfId="20" builtinId="37" customBuiltin="1"/>
    <cellStyle name="Accent4" xfId="6" builtinId="41" customBuiltin="1"/>
    <cellStyle name="Accent6" xfId="10" builtinId="49" customBuiltin="1"/>
    <cellStyle name="Comma" xfId="28" builtinId="3"/>
    <cellStyle name="Employee" xfId="26"/>
    <cellStyle name="Heading 1" xfId="2" builtinId="16" customBuiltin="1"/>
    <cellStyle name="Heading 2" xfId="3" builtinId="17" customBuiltin="1"/>
    <cellStyle name="Heading 3" xfId="4" builtinId="18" customBuiltin="1"/>
    <cellStyle name="Heading 4" xfId="5" builtinId="19" customBuiltin="1"/>
    <cellStyle name="Label" xfId="27"/>
    <cellStyle name="Normal" xfId="0" builtinId="0" customBuiltin="1"/>
    <cellStyle name="Title" xfId="1" builtinId="15" customBuiltin="1"/>
    <cellStyle name="Total" xfId="25" builtinId="25" customBuiltin="1"/>
  </cellStyles>
  <dxfs count="2004">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color theme="3"/>
      </font>
      <border>
        <vertical/>
        <horizontal/>
      </border>
    </dxf>
    <dxf>
      <font>
        <color theme="0"/>
      </font>
      <border>
        <vertical/>
        <horizontal/>
      </border>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alignment horizontal="left" vertical="center" textRotation="0" wrapText="0" indent="1" justifyLastLine="0" shrinkToFit="0" readingOrder="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35" formatCode="_(* #,##0.00_);_(* \(#,##0.00\);_(* &quot;-&quot;??_);_(@_)"/>
      <alignment horizontal="left" vertical="center" textRotation="0" wrapText="1" indent="2" justifyLastLine="0" shrinkToFit="0" readingOrder="0"/>
    </dxf>
    <dxf>
      <font>
        <strike val="0"/>
        <outline val="0"/>
        <shadow val="0"/>
        <u val="none"/>
        <vertAlign val="baseline"/>
        <color theme="1"/>
        <name val="Calibri"/>
        <scheme val="minor"/>
      </font>
      <numFmt numFmtId="35" formatCode="_(* #,##0.00_);_(* \(#,##0.00\);_(* &quot;-&quot;??_);_(@_)"/>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color theme="1"/>
        <name val="Calibri"/>
        <scheme val="minor"/>
      </font>
    </dxf>
    <dxf>
      <font>
        <strike val="0"/>
        <outline val="0"/>
        <shadow val="0"/>
        <u val="none"/>
        <vertAlign val="baseline"/>
        <color theme="1"/>
        <name val="Calibri"/>
        <scheme val="minor"/>
      </font>
    </dxf>
    <dxf>
      <font>
        <strike val="0"/>
        <outline val="0"/>
        <shadow val="0"/>
        <u val="none"/>
        <vertAlign val="baseline"/>
        <color theme="1"/>
        <name val="Calibri"/>
        <scheme val="minor"/>
      </font>
    </dxf>
    <dxf>
      <font>
        <b val="0"/>
        <i val="0"/>
        <strike val="0"/>
        <condense val="0"/>
        <extend val="0"/>
        <outline val="0"/>
        <shadow val="0"/>
        <u val="none"/>
        <vertAlign val="baseline"/>
        <sz val="11"/>
        <color theme="1"/>
        <name val="Calibri"/>
        <scheme val="minor"/>
      </font>
      <numFmt numFmtId="35" formatCode="_(* #,##0.00_);_(* \(#,##0.00\);_(* &quot;-&quot;??_);_(@_)"/>
      <alignment horizontal="left" vertical="center" textRotation="0" wrapText="1" indent="2" justifyLastLine="0" shrinkToFit="0" readingOrder="0"/>
    </dxf>
    <dxf>
      <font>
        <strike val="0"/>
        <outline val="0"/>
        <shadow val="0"/>
        <u val="none"/>
        <vertAlign val="baseline"/>
        <color theme="1"/>
        <name val="Calibri"/>
        <scheme val="minor"/>
      </font>
      <numFmt numFmtId="35" formatCode="_(* #,##0.00_);_(* \(#,##0.00\);_(* &quot;-&quot;??_);_(@_)"/>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color theme="1"/>
        <name val="Calibri"/>
        <scheme val="minor"/>
      </font>
    </dxf>
    <dxf>
      <font>
        <strike val="0"/>
        <outline val="0"/>
        <shadow val="0"/>
        <u val="none"/>
        <vertAlign val="baseline"/>
        <color theme="1"/>
        <name val="Calibri"/>
        <scheme val="minor"/>
      </font>
    </dxf>
    <dxf>
      <font>
        <strike val="0"/>
        <outline val="0"/>
        <shadow val="0"/>
        <u val="none"/>
        <vertAlign val="baseline"/>
        <color theme="1"/>
        <name val="Calibri"/>
        <scheme val="minor"/>
      </font>
    </dxf>
    <dxf>
      <protection locked="1" hidden="0"/>
    </dxf>
    <dxf>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protection locked="1" hidden="0"/>
    </dxf>
    <dxf>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protection locked="1" hidden="0"/>
    </dxf>
    <dxf>
      <protection locked="1" hidden="0"/>
    </dxf>
    <dxf>
      <alignment horizontal="center" vertical="center" textRotation="0" wrapText="0" indent="0" justifyLastLine="0" shrinkToFit="0" readingOrder="0"/>
      <protection locked="1" hidden="0"/>
    </dxf>
    <dxf>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general" vertical="center" textRotation="0" wrapText="0" indent="0" justifyLastLine="0" shrinkToFit="0" readingOrder="0"/>
    </dxf>
    <dxf>
      <numFmt numFmtId="0" formatCode="General"/>
      <fill>
        <patternFill patternType="none">
          <fgColor indexed="64"/>
          <bgColor indexed="65"/>
        </patternFill>
      </fill>
      <alignment horizontal="general" vertical="center" textRotation="0" indent="0" justifyLastLine="0" shrinkToFit="0" readingOrder="0"/>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font>
        <b/>
        <color auto="1"/>
      </font>
      <fill>
        <patternFill patternType="solid">
          <fgColor indexed="64"/>
          <bgColor theme="7"/>
        </patternFill>
      </fill>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patternFill>
      </fill>
      <alignment horizontal="center" vertical="center" textRotation="0" wrapText="0" indent="0" justifyLastLine="0" shrinkToFit="0" readingOrder="0"/>
    </dxf>
    <dxf>
      <fill>
        <patternFill patternType="solid">
          <fgColor indexed="64"/>
          <bgColor theme="9"/>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patternFill>
      </fill>
      <alignment horizontal="center" vertical="center" textRotation="0" wrapText="0" indent="0" justifyLastLine="0" shrinkToFit="0" readingOrder="0"/>
    </dxf>
    <dxf>
      <fill>
        <patternFill patternType="solid">
          <fgColor indexed="64"/>
          <bgColor theme="9"/>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patternFill>
      </fill>
      <alignment horizontal="center" vertical="center" textRotation="0" wrapText="0" indent="0" justifyLastLine="0" shrinkToFit="0" readingOrder="0"/>
    </dxf>
    <dxf>
      <fill>
        <patternFill patternType="solid">
          <fgColor indexed="64"/>
          <bgColor theme="9"/>
        </patternFill>
      </fill>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patternFill>
      </fill>
      <alignment horizontal="center" vertical="center" textRotation="0" wrapText="0" indent="0" justifyLastLine="0" shrinkToFit="0" readingOrder="0"/>
    </dxf>
    <dxf>
      <fill>
        <patternFill patternType="solid">
          <fgColor indexed="64"/>
          <bgColor theme="9"/>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patternFill>
      </fill>
      <alignment horizontal="center" vertical="center" textRotation="0" wrapText="0" indent="0" justifyLastLine="0" shrinkToFit="0" readingOrder="0"/>
    </dxf>
    <dxf>
      <fill>
        <patternFill patternType="solid">
          <fgColor indexed="64"/>
          <bgColor theme="9"/>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numFmt numFmtId="0" formatCode="General"/>
      <fill>
        <patternFill patternType="none">
          <fgColor indexed="64"/>
          <bgColor indexed="65"/>
        </patternFill>
      </fill>
      <alignment horizontal="left" vertical="center" textRotation="0" wrapText="1" indent="0" justifyLastLine="0" shrinkToFit="0" readingOrder="0"/>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font>
        <strike val="0"/>
        <outline val="0"/>
        <shadow val="0"/>
        <u val="none"/>
        <vertAlign val="baseline"/>
        <sz val="11"/>
        <color rgb="FFFF0000"/>
        <name val="Calibri"/>
        <scheme val="minor"/>
      </font>
      <fill>
        <patternFill patternType="solid">
          <fgColor indexed="64"/>
          <bgColor theme="7" tint="0.79998168889431442"/>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7"/>
        </patternFill>
      </fill>
      <alignment horizontal="center" vertical="center" textRotation="0" wrapText="0" indent="0" justifyLastLine="0" shrinkToFit="0" readingOrder="0"/>
    </dxf>
    <dxf>
      <fill>
        <patternFill patternType="solid">
          <fgColor indexed="64"/>
          <bgColor theme="7"/>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7"/>
        </patternFill>
      </fill>
      <alignment horizontal="center" vertical="center" textRotation="0" wrapText="0" indent="0" justifyLastLine="0" shrinkToFit="0" readingOrder="0"/>
    </dxf>
    <dxf>
      <fill>
        <patternFill patternType="solid">
          <fgColor indexed="64"/>
          <bgColor theme="7"/>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7"/>
        </patternFill>
      </fill>
      <alignment horizontal="center" vertical="center" textRotation="0" wrapText="0" indent="0" justifyLastLine="0" shrinkToFit="0" readingOrder="0"/>
    </dxf>
    <dxf>
      <fill>
        <patternFill patternType="solid">
          <fgColor indexed="64"/>
          <bgColor theme="7"/>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7"/>
        </patternFill>
      </fill>
      <alignment horizontal="center" vertical="center" textRotation="0" wrapText="0" indent="0" justifyLastLine="0" shrinkToFit="0" readingOrder="0"/>
    </dxf>
    <dxf>
      <fill>
        <patternFill patternType="solid">
          <fgColor indexed="64"/>
          <bgColor theme="7"/>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fill>
        <patternFill>
          <fgColor indexed="64"/>
          <bgColor theme="7"/>
        </patternFill>
      </fill>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center" textRotation="0" wrapText="0" indent="0" justifyLastLine="0" shrinkToFit="0" readingOrder="0"/>
    </dxf>
    <dxf>
      <numFmt numFmtId="1" formatCode="0"/>
      <fill>
        <patternFill patternType="none">
          <fgColor indexed="64"/>
          <bgColor indexed="6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0000"/>
        </patternFill>
      </fill>
      <alignment horizontal="center" vertical="center" textRotation="0" wrapText="0" indent="0" justifyLastLine="0" shrinkToFit="0" readingOrder="0"/>
    </dxf>
    <dxf>
      <fill>
        <patternFill>
          <fgColor indexed="64"/>
          <bgColor rgb="FFFF0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0000"/>
        </patternFill>
      </fill>
      <alignment horizontal="center" vertical="center" textRotation="0" wrapText="0" indent="0" justifyLastLine="0" shrinkToFit="0" readingOrder="0"/>
    </dxf>
    <dxf>
      <fill>
        <patternFill patternType="solid">
          <fgColor indexed="64"/>
          <bgColor rgb="FFFF0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0000"/>
        </patternFill>
      </fill>
      <alignment horizontal="center" vertical="center" textRotation="0" wrapText="0" indent="0" justifyLastLine="0" shrinkToFit="0" readingOrder="0"/>
    </dxf>
    <dxf>
      <fill>
        <patternFill patternType="solid">
          <fgColor indexed="64"/>
          <bgColor rgb="FFFF0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0000"/>
        </patternFill>
      </fill>
      <alignment horizontal="center" vertical="center" textRotation="0" wrapText="0" indent="0" justifyLastLine="0" shrinkToFit="0" readingOrder="0"/>
    </dxf>
    <dxf>
      <fill>
        <patternFill patternType="solid">
          <fgColor indexed="64"/>
          <bgColor rgb="FFFF0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C000"/>
        </patternFill>
      </fill>
      <alignment horizontal="center" vertical="center" textRotation="0" wrapText="0" indent="0" justifyLastLine="0" shrinkToFit="0" readingOrder="0"/>
    </dxf>
    <dxf>
      <fill>
        <patternFill patternType="solid">
          <fgColor indexed="64"/>
          <bgColor rgb="FFFFC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C000"/>
        </patternFill>
      </fill>
      <alignment horizontal="center" vertical="center" textRotation="0" wrapText="0" indent="0" justifyLastLine="0" shrinkToFit="0" readingOrder="0"/>
    </dxf>
    <dxf>
      <fill>
        <patternFill patternType="solid">
          <fgColor indexed="64"/>
          <bgColor rgb="FFFFC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C000"/>
        </patternFill>
      </fill>
      <alignment horizontal="center" vertical="center" textRotation="0" wrapText="0" indent="0" justifyLastLine="0" shrinkToFit="0" readingOrder="0"/>
    </dxf>
    <dxf>
      <fill>
        <patternFill patternType="solid">
          <fgColor indexed="64"/>
          <bgColor rgb="FFFFC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C000"/>
        </patternFill>
      </fill>
      <alignment horizontal="center" vertical="center" textRotation="0" wrapText="0" indent="0" justifyLastLine="0" shrinkToFit="0" readingOrder="0"/>
    </dxf>
    <dxf>
      <fill>
        <patternFill patternType="solid">
          <fgColor indexed="64"/>
          <bgColor rgb="FFFFC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general" vertical="center" textRotation="0" wrapText="0" indent="0" justifyLastLine="0" shrinkToFit="0" readingOrder="0"/>
    </dxf>
    <dxf>
      <numFmt numFmtId="0" formatCode="General"/>
      <fill>
        <patternFill patternType="none">
          <fgColor indexed="64"/>
          <bgColor indexed="65"/>
        </patternFill>
      </fill>
      <alignment horizontal="general" vertical="center" textRotation="0" indent="0" justifyLastLine="0" shrinkToFit="0" readingOrder="0"/>
      <protection locked="1" hidden="0"/>
    </dxf>
    <dxf>
      <protection locked="1" hidden="0"/>
    </dxf>
    <dxf>
      <protection locked="1" hidden="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alignment horizontal="left" vertical="center" textRotation="0" wrapText="0" indent="1" justifyLastLine="0" shrinkToFit="0" readingOrder="0"/>
    </dxf>
    <dxf>
      <fill>
        <patternFill patternType="none">
          <fgColor indexed="64"/>
          <bgColor indexed="65"/>
        </patternFill>
      </fill>
      <protection locked="1" hidden="0"/>
    </dxf>
    <dxf>
      <protection locked="1" hidden="0"/>
    </dxf>
    <dxf>
      <protection locked="1" hidden="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fill>
        <patternFill patternType="none">
          <fgColor indexed="64"/>
          <bgColor indexed="65"/>
        </patternFill>
      </fill>
    </dxf>
    <dxf>
      <protection locked="1" hidden="0"/>
    </dxf>
    <dxf>
      <protection locked="1" hidden="0"/>
    </dxf>
    <dxf>
      <alignment horizontal="center" vertical="center" textRotation="0" wrapText="0" indent="0" justifyLastLine="0" shrinkToFit="0" readingOrder="0"/>
    </dxf>
    <dxf>
      <fill>
        <patternFill patternType="solid">
          <bgColor theme="5" tint="0.399945066682943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bgColor theme="5" tint="0.399945066682943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bgColor theme="2"/>
        </patternFill>
      </fill>
      <border diagonalUp="0" diagonalDown="0">
        <left/>
        <right/>
        <top/>
        <bottom style="thin">
          <color theme="0" tint="-0.14996795556505021"/>
        </bottom>
        <vertical/>
        <horizontal/>
      </border>
    </dxf>
    <dxf>
      <font>
        <color theme="1"/>
      </font>
      <fill>
        <patternFill patternType="none">
          <bgColor auto="1"/>
        </patternFill>
      </fill>
      <border diagonalUp="0" diagonalDown="0">
        <left/>
        <right/>
        <top style="thin">
          <color theme="0" tint="-0.14996795556505021"/>
        </top>
        <bottom style="thin">
          <color theme="0" tint="-0.14993743705557422"/>
        </bottom>
        <vertical/>
        <horizontal/>
      </border>
    </dxf>
    <dxf>
      <fill>
        <patternFill>
          <bgColor theme="0" tint="-0.14996795556505021"/>
        </patternFill>
      </fill>
      <border>
        <left style="thin">
          <color theme="0"/>
        </left>
        <right style="thin">
          <color theme="0"/>
        </right>
        <vertical style="thin">
          <color theme="0"/>
        </vertical>
      </border>
    </dxf>
    <dxf>
      <fill>
        <patternFill>
          <bgColor theme="0" tint="-4.9989318521683403E-2"/>
        </patternFill>
      </fill>
      <border>
        <left style="thin">
          <color theme="0"/>
        </left>
        <right style="thin">
          <color theme="0"/>
        </right>
        <top style="thick">
          <color theme="5" tint="0.59996337778862885"/>
        </top>
        <bottom style="thick">
          <color theme="5" tint="0.59996337778862885"/>
        </bottom>
        <vertical style="thin">
          <color theme="0"/>
        </vertical>
        <horizontal style="thick">
          <color theme="5" tint="0.59996337778862885"/>
        </horizontal>
      </border>
    </dxf>
    <dxf>
      <fill>
        <patternFill>
          <bgColor theme="5" tint="0.79998168889431442"/>
        </patternFill>
      </fill>
      <border>
        <top style="thick">
          <color theme="0"/>
        </top>
        <bottom style="thick">
          <color theme="0"/>
        </bottom>
        <horizontal style="thick">
          <color theme="0"/>
        </horizontal>
      </border>
    </dxf>
    <dxf>
      <fill>
        <patternFill patternType="none">
          <fgColor auto="1"/>
          <bgColor auto="1"/>
        </patternFill>
      </fill>
      <border>
        <top style="thick">
          <color theme="0"/>
        </top>
        <bottom style="thick">
          <color theme="0"/>
        </bottom>
        <horizontal style="thick">
          <color theme="0"/>
        </horizontal>
      </border>
    </dxf>
    <dxf>
      <font>
        <b/>
        <i val="0"/>
        <color theme="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ont>
        <color theme="1"/>
      </font>
      <fill>
        <patternFill patternType="none">
          <bgColor auto="1"/>
        </patternFill>
      </fill>
      <border>
        <left/>
        <right/>
        <top style="thin">
          <color theme="5" tint="0.59996337778862885"/>
        </top>
        <bottom style="thin">
          <color theme="5" tint="0.59996337778862885"/>
        </bottom>
        <vertical/>
        <horizontal style="thin">
          <color theme="5" tint="0.59996337778862885"/>
        </horizontal>
      </border>
    </dxf>
    <dxf>
      <font>
        <color theme="1"/>
      </font>
      <fill>
        <patternFill>
          <bgColor theme="5" tint="0.39994506668294322"/>
        </patternFill>
      </fill>
      <border diagonalUp="0" diagonalDown="0">
        <left style="thin">
          <color theme="0"/>
        </left>
        <right style="thin">
          <color theme="0"/>
        </right>
        <top style="thick">
          <color theme="0"/>
        </top>
        <bottom style="thick">
          <color theme="5"/>
        </bottom>
        <vertical style="thick">
          <color theme="0"/>
        </vertical>
        <horizontal/>
      </border>
    </dxf>
    <dxf>
      <font>
        <color theme="0"/>
      </font>
      <fill>
        <patternFill>
          <bgColor theme="5" tint="-0.24994659260841701"/>
        </patternFill>
      </fill>
      <border>
        <top style="thin">
          <color theme="5" tint="0.59996337778862885"/>
        </top>
        <bottom style="thin">
          <color theme="5" tint="0.59996337778862885"/>
        </bottom>
        <horizontal style="thin">
          <color theme="5" tint="0.59996337778862885"/>
        </horizontal>
      </border>
    </dxf>
    <dxf>
      <font>
        <b/>
        <i val="0"/>
        <color theme="0"/>
      </font>
      <border diagonalUp="0" diagonalDown="0">
        <left/>
        <right/>
        <top/>
        <bottom style="thick">
          <color theme="0"/>
        </bottom>
        <vertical style="thick">
          <color theme="0"/>
        </vertical>
        <horizontal style="thick">
          <color theme="0"/>
        </horizontal>
      </border>
    </dxf>
    <dxf>
      <fill>
        <patternFill patternType="solid">
          <fgColor theme="5" tint="0.39994506668294322"/>
          <bgColor theme="5" tint="0.399914548173467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fgColor theme="5" tint="0.39994506668294322"/>
          <bgColor theme="5" tint="0.399914548173467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auto="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ont>
        <color auto="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ill>
        <patternFill>
          <bgColor theme="5" tint="0.79998168889431442"/>
        </patternFill>
      </fill>
      <border>
        <top style="thick">
          <color theme="0"/>
        </top>
        <bottom style="thick">
          <color theme="0"/>
        </bottom>
        <horizontal style="thick">
          <color theme="0"/>
        </horizontal>
      </border>
    </dxf>
    <dxf>
      <fill>
        <patternFill patternType="none">
          <fgColor auto="1"/>
          <bgColor auto="1"/>
        </patternFill>
      </fill>
      <border>
        <top style="thick">
          <color theme="0"/>
        </top>
        <bottom style="thick">
          <color theme="0"/>
        </bottom>
        <horizontal style="thick">
          <color theme="0"/>
        </horizontal>
      </border>
    </dxf>
    <dxf>
      <font>
        <color auto="1"/>
      </font>
      <fill>
        <patternFill>
          <fgColor theme="5" tint="0.39994506668294322"/>
          <bgColor theme="5" tint="0.39991454817346722"/>
        </patternFill>
      </fill>
      <border diagonalUp="0" diagonalDown="0">
        <left style="thin">
          <color theme="0"/>
        </left>
        <right style="thin">
          <color theme="0"/>
        </right>
        <top style="thin">
          <color theme="5" tint="0.59996337778862885"/>
        </top>
        <bottom style="thick">
          <color theme="5"/>
        </bottom>
        <vertical style="thick">
          <color theme="0"/>
        </vertical>
        <horizontal style="thin">
          <color theme="5" tint="0.59996337778862885"/>
        </horizontal>
      </border>
    </dxf>
    <dxf>
      <font>
        <color theme="0"/>
      </font>
      <fill>
        <patternFill>
          <fgColor theme="5" tint="-0.24994659260841701"/>
          <bgColor theme="5" tint="-0.24994659260841701"/>
        </patternFill>
      </fill>
      <border>
        <top style="thin">
          <color theme="5" tint="0.59996337778862885"/>
        </top>
        <bottom style="thin">
          <color theme="5" tint="0.59996337778862885"/>
        </bottom>
        <horizontal style="thin">
          <color theme="5" tint="0.59996337778862885"/>
        </horizontal>
      </border>
    </dxf>
    <dxf>
      <font>
        <b/>
        <i val="0"/>
        <color auto="1"/>
      </font>
      <border diagonalUp="0" diagonalDown="0">
        <left style="thin">
          <color theme="0"/>
        </left>
        <right/>
        <top style="thin">
          <color theme="0"/>
        </top>
        <bottom style="thin">
          <color theme="0"/>
        </bottom>
        <vertical style="thick">
          <color theme="0"/>
        </vertical>
        <horizontal style="thick">
          <color theme="0"/>
        </horizontal>
      </border>
    </dxf>
  </dxfs>
  <tableStyles count="2" defaultTableStyle="Employee Absence Table" defaultPivotStyle="PivotStyleLight16">
    <tableStyle name="Employee Absence Table" pivot="0" count="9">
      <tableStyleElement type="wholeTable" dxfId="2003"/>
      <tableStyleElement type="headerRow" dxfId="2002"/>
      <tableStyleElement type="totalRow" dxfId="2001"/>
      <tableStyleElement type="firstRowStripe" dxfId="2000"/>
      <tableStyleElement type="secondRowStripe" dxfId="1999"/>
      <tableStyleElement type="firstHeaderCell" dxfId="1998"/>
      <tableStyleElement type="lastHeaderCell" dxfId="1997"/>
      <tableStyleElement type="firstTotalCell" dxfId="1996"/>
      <tableStyleElement type="lastTotalCell" dxfId="1995"/>
    </tableStyle>
    <tableStyle name="Employee Absence Table 2" pivot="0" count="13">
      <tableStyleElement type="wholeTable" dxfId="1994"/>
      <tableStyleElement type="headerRow" dxfId="1993"/>
      <tableStyleElement type="totalRow" dxfId="1992"/>
      <tableStyleElement type="firstColumn" dxfId="1991"/>
      <tableStyleElement type="lastColumn" dxfId="1990"/>
      <tableStyleElement type="firstRowStripe" dxfId="1989"/>
      <tableStyleElement type="secondRowStripe" dxfId="1988"/>
      <tableStyleElement type="firstColumnStripe" dxfId="1987"/>
      <tableStyleElement type="secondColumnStripe" dxfId="1986"/>
      <tableStyleElement type="firstHeaderCell" dxfId="1985"/>
      <tableStyleElement type="lastHeaderCell" dxfId="1984"/>
      <tableStyleElement type="firstTotalCell" dxfId="1983"/>
      <tableStyleElement type="lastTotalCell" dxfId="198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190500</xdr:colOff>
      <xdr:row>22</xdr:row>
      <xdr:rowOff>190500</xdr:rowOff>
    </xdr:from>
    <xdr:to>
      <xdr:col>35</xdr:col>
      <xdr:colOff>120538</xdr:colOff>
      <xdr:row>26</xdr:row>
      <xdr:rowOff>228735</xdr:rowOff>
    </xdr:to>
    <xdr:pic>
      <xdr:nvPicPr>
        <xdr:cNvPr id="2" name="Picture 1">
          <a:extLst>
            <a:ext uri="{FF2B5EF4-FFF2-40B4-BE49-F238E27FC236}">
              <a16:creationId xmlns:a16="http://schemas.microsoft.com/office/drawing/2014/main" id="{3EA64DA1-603E-4621-2736-AA529DAE20D3}"/>
            </a:ext>
          </a:extLst>
        </xdr:cNvPr>
        <xdr:cNvPicPr>
          <a:picLocks noChangeAspect="1"/>
        </xdr:cNvPicPr>
      </xdr:nvPicPr>
      <xdr:blipFill>
        <a:blip xmlns:r="http://schemas.openxmlformats.org/officeDocument/2006/relationships" r:embed="rId1"/>
        <a:stretch>
          <a:fillRect/>
        </a:stretch>
      </xdr:blipFill>
      <xdr:spPr>
        <a:xfrm>
          <a:off x="4667250" y="6619875"/>
          <a:ext cx="6035563" cy="1562235"/>
        </a:xfrm>
        <a:prstGeom prst="rect">
          <a:avLst/>
        </a:prstGeom>
      </xdr:spPr>
    </xdr:pic>
    <xdr:clientData/>
  </xdr:twoCellAnchor>
  <xdr:twoCellAnchor>
    <xdr:from>
      <xdr:col>22</xdr:col>
      <xdr:colOff>247650</xdr:colOff>
      <xdr:row>22</xdr:row>
      <xdr:rowOff>228600</xdr:rowOff>
    </xdr:from>
    <xdr:to>
      <xdr:col>27</xdr:col>
      <xdr:colOff>19051</xdr:colOff>
      <xdr:row>26</xdr:row>
      <xdr:rowOff>190500</xdr:rowOff>
    </xdr:to>
    <xdr:sp macro="" textlink="">
      <xdr:nvSpPr>
        <xdr:cNvPr id="3" name="Rectangle 2">
          <a:extLst>
            <a:ext uri="{FF2B5EF4-FFF2-40B4-BE49-F238E27FC236}">
              <a16:creationId xmlns:a16="http://schemas.microsoft.com/office/drawing/2014/main" id="{5D95FCD3-E9EA-2F0A-C75A-2D5011EFB134}"/>
            </a:ext>
          </a:extLst>
        </xdr:cNvPr>
        <xdr:cNvSpPr/>
      </xdr:nvSpPr>
      <xdr:spPr>
        <a:xfrm>
          <a:off x="6934200" y="6657975"/>
          <a:ext cx="1152526" cy="14859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ables/table1.xml><?xml version="1.0" encoding="utf-8"?>
<table xmlns="http://schemas.openxmlformats.org/spreadsheetml/2006/main" id="3" name="January" displayName="January" ref="B8:AH14" totalsRowCount="1" headerRowDxfId="1981" dataDxfId="1980" totalsRowDxfId="1979">
  <autoFilter ref="B8:AH1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name="Employee name" totalsRowFunction="custom" dataDxfId="1978" totalsRowDxfId="1977" dataCellStyle="Employee">
      <totalsRowFormula>MonthName&amp;" total"</totalsRowFormula>
    </tableColumn>
    <tableColumn id="2" name="1" totalsRowFunction="custom" dataDxfId="1976" totalsRowDxfId="1975" dataCellStyle="Total">
      <totalsRowFormula>SUBTOTAL(103,January!$C$9:$C$13)</totalsRowFormula>
    </tableColumn>
    <tableColumn id="3" name="2" totalsRowFunction="custom" dataDxfId="1974" totalsRowDxfId="1973" dataCellStyle="Total">
      <totalsRowFormula>SUBTOTAL(103,January!$D$9:$D$13)</totalsRowFormula>
    </tableColumn>
    <tableColumn id="4" name="3" totalsRowFunction="custom" dataDxfId="1972" totalsRowDxfId="1971" dataCellStyle="Total">
      <totalsRowFormula>SUBTOTAL(103,January!$E$9:$E$13)</totalsRowFormula>
    </tableColumn>
    <tableColumn id="5" name="4" totalsRowFunction="custom" dataDxfId="1970" totalsRowDxfId="1969" dataCellStyle="Total">
      <totalsRowFormula>SUBTOTAL(103,January!$F$9:$F$13)</totalsRowFormula>
    </tableColumn>
    <tableColumn id="6" name="5" totalsRowFunction="custom" totalsRowDxfId="1968" dataCellStyle="Total">
      <totalsRowFormula>SUBTOTAL(103,January!$G$9:$G$13)</totalsRowFormula>
    </tableColumn>
    <tableColumn id="7" name="6" totalsRowFunction="custom" dataDxfId="1967" totalsRowDxfId="1966" dataCellStyle="Total">
      <totalsRowFormula>SUBTOTAL(103,January!$H$9:$H$13)</totalsRowFormula>
    </tableColumn>
    <tableColumn id="8" name="7" totalsRowFunction="custom" dataDxfId="1965" totalsRowDxfId="1964" dataCellStyle="Total">
      <totalsRowFormula>SUBTOTAL(103,January!$I$9:$I$13)</totalsRowFormula>
    </tableColumn>
    <tableColumn id="9" name="8" totalsRowFunction="custom" dataDxfId="1963" totalsRowDxfId="1962" dataCellStyle="Total">
      <totalsRowFormula>SUBTOTAL(103,January!$J$9:$J$13)</totalsRowFormula>
    </tableColumn>
    <tableColumn id="10" name="9" totalsRowFunction="custom" dataDxfId="1961" totalsRowDxfId="1960" dataCellStyle="Total">
      <totalsRowFormula>SUBTOTAL(103,January!$K$9:$K$13)</totalsRowFormula>
    </tableColumn>
    <tableColumn id="11" name="10" totalsRowFunction="custom" dataDxfId="1959" totalsRowDxfId="1958" dataCellStyle="Total">
      <totalsRowFormula>SUBTOTAL(103,January!$L$9:$L$13)</totalsRowFormula>
    </tableColumn>
    <tableColumn id="12" name="11" totalsRowFunction="custom" dataDxfId="1957" totalsRowDxfId="1956" dataCellStyle="Total">
      <totalsRowFormula>SUBTOTAL(103,January!$M$9:$M$13)</totalsRowFormula>
    </tableColumn>
    <tableColumn id="13" name="12" totalsRowFunction="custom" dataDxfId="1955" totalsRowDxfId="1954" dataCellStyle="Total">
      <totalsRowFormula>SUBTOTAL(103,January!$N$9:$N$13)</totalsRowFormula>
    </tableColumn>
    <tableColumn id="14" name="13" totalsRowFunction="custom" dataDxfId="1953" totalsRowDxfId="1952" dataCellStyle="Total">
      <totalsRowFormula>SUBTOTAL(103,January!$O$9:$O$13)</totalsRowFormula>
    </tableColumn>
    <tableColumn id="15" name="14" totalsRowFunction="custom" dataDxfId="1951" totalsRowDxfId="1950" dataCellStyle="Total">
      <totalsRowFormula>SUBTOTAL(103,January!$P$9:$P$13)</totalsRowFormula>
    </tableColumn>
    <tableColumn id="16" name="15" totalsRowFunction="custom" dataDxfId="1949" totalsRowDxfId="1948" dataCellStyle="Total">
      <totalsRowFormula>SUBTOTAL(103,January!$Q$9:$Q$13)</totalsRowFormula>
    </tableColumn>
    <tableColumn id="17" name="16" totalsRowFunction="custom" dataDxfId="1947" totalsRowDxfId="1946" dataCellStyle="Total">
      <totalsRowFormula>SUBTOTAL(103,January!$R$9:$R$13)</totalsRowFormula>
    </tableColumn>
    <tableColumn id="18" name="17" totalsRowFunction="custom" dataDxfId="1945" totalsRowDxfId="1944" dataCellStyle="Total">
      <totalsRowFormula>SUBTOTAL(103,January!$S$9:$S$13)</totalsRowFormula>
    </tableColumn>
    <tableColumn id="19" name="18" totalsRowFunction="custom" dataDxfId="1943" totalsRowDxfId="1942" dataCellStyle="Total">
      <totalsRowFormula>SUBTOTAL(103,January!$T$9:$T$13)</totalsRowFormula>
    </tableColumn>
    <tableColumn id="20" name="19" totalsRowFunction="custom" dataDxfId="1941" totalsRowDxfId="1940" dataCellStyle="Total">
      <totalsRowFormula>SUBTOTAL(103,January!$U$9:$U$13)</totalsRowFormula>
    </tableColumn>
    <tableColumn id="21" name="20" totalsRowFunction="custom" dataDxfId="1939" totalsRowDxfId="1938" dataCellStyle="Total">
      <totalsRowFormula>SUBTOTAL(103,January!$V$9:$V$13)</totalsRowFormula>
    </tableColumn>
    <tableColumn id="22" name="21" totalsRowFunction="custom" dataDxfId="1937" totalsRowDxfId="1936" dataCellStyle="Total">
      <totalsRowFormula>SUBTOTAL(103,January!$W$9:$W$13)</totalsRowFormula>
    </tableColumn>
    <tableColumn id="23" name="22" totalsRowFunction="custom" dataDxfId="1935" totalsRowDxfId="1934" dataCellStyle="Total">
      <totalsRowFormula>SUBTOTAL(103,January!$X$9:$X$13)</totalsRowFormula>
    </tableColumn>
    <tableColumn id="24" name="23" totalsRowFunction="custom" dataDxfId="1933" totalsRowDxfId="1932" dataCellStyle="Total">
      <totalsRowFormula>SUBTOTAL(103,January!$Y$9:$Y$13)</totalsRowFormula>
    </tableColumn>
    <tableColumn id="25" name="24" totalsRowFunction="custom" dataDxfId="1931" totalsRowDxfId="1930" dataCellStyle="Total">
      <totalsRowFormula>SUBTOTAL(103,January!$Z$9:$Z$13)</totalsRowFormula>
    </tableColumn>
    <tableColumn id="26" name="25" totalsRowFunction="custom" dataDxfId="1929" totalsRowDxfId="1928" dataCellStyle="Total">
      <totalsRowFormula>SUBTOTAL(103,January!$AA$9:$AA$13)</totalsRowFormula>
    </tableColumn>
    <tableColumn id="27" name="26" totalsRowFunction="custom" dataDxfId="1927" totalsRowDxfId="1926" dataCellStyle="Total">
      <totalsRowFormula>SUBTOTAL(103,January!$AB$9:$AB$13)</totalsRowFormula>
    </tableColumn>
    <tableColumn id="28" name="27" totalsRowFunction="custom" dataDxfId="1925" totalsRowDxfId="1924" dataCellStyle="Total">
      <totalsRowFormula>SUBTOTAL(103,January!$AC$9:$AC$13)</totalsRowFormula>
    </tableColumn>
    <tableColumn id="29" name="28" totalsRowFunction="custom" dataDxfId="1923" totalsRowDxfId="1922" dataCellStyle="Total">
      <totalsRowFormula>SUBTOTAL(103,January!$AD$9:$AD$13)</totalsRowFormula>
    </tableColumn>
    <tableColumn id="30" name="29" totalsRowFunction="custom" dataDxfId="1921" totalsRowDxfId="1920" dataCellStyle="Total">
      <totalsRowFormula>SUBTOTAL(103,January!$AE$9:$AE$13)</totalsRowFormula>
    </tableColumn>
    <tableColumn id="31" name="30" totalsRowFunction="custom" dataDxfId="1919" totalsRowDxfId="1918" dataCellStyle="Total">
      <totalsRowFormula>SUBTOTAL(103,January!$AF$9:$AF$13)</totalsRowFormula>
    </tableColumn>
    <tableColumn id="32" name="31" totalsRowFunction="custom" dataDxfId="1917" totalsRowDxfId="1916" dataCellStyle="Total">
      <totalsRowFormula>SUBTOTAL(103,January!$AG$9:$AG$13)</totalsRowFormula>
    </tableColumn>
    <tableColumn id="33" name="Total days" totalsRowFunction="sum" dataDxfId="1915" totalsRowDxfId="1914" dataCellStyle="Total">
      <calculatedColumnFormula>COUNTA(January!$C9:$AG9)</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2.xml><?xml version="1.0" encoding="utf-8"?>
<table xmlns="http://schemas.openxmlformats.org/spreadsheetml/2006/main" id="2" name="February" displayName="February" ref="B8:AH14" totalsRowCount="1" headerRowDxfId="1913" dataDxfId="1912" totalsRowDxfId="1911">
  <tableColumns count="33">
    <tableColumn id="1" name="Employee name" totalsRowFunction="custom" dataDxfId="1910" totalsRowDxfId="1909" dataCellStyle="Employee">
      <totalsRowFormula>MonthName&amp;" total"</totalsRowFormula>
    </tableColumn>
    <tableColumn id="2" name="1" totalsRowFunction="count" dataDxfId="1908" totalsRowDxfId="1907" dataCellStyle="Total"/>
    <tableColumn id="3" name="2" totalsRowFunction="count" dataDxfId="1906" totalsRowDxfId="1905" dataCellStyle="Total"/>
    <tableColumn id="4" name="3" totalsRowFunction="count" dataDxfId="1904" totalsRowDxfId="1903" dataCellStyle="Total"/>
    <tableColumn id="5" name="4" totalsRowFunction="count" dataDxfId="1902" totalsRowDxfId="1901" dataCellStyle="Total"/>
    <tableColumn id="6" name="5" totalsRowFunction="count" dataDxfId="1900" totalsRowDxfId="1899" dataCellStyle="Total"/>
    <tableColumn id="7" name="6" totalsRowFunction="count" dataDxfId="1898" totalsRowDxfId="1897" dataCellStyle="Total"/>
    <tableColumn id="8" name="7" totalsRowFunction="count" dataDxfId="1896" totalsRowDxfId="1895" dataCellStyle="Total"/>
    <tableColumn id="9" name="8" totalsRowFunction="count" dataDxfId="1894" totalsRowDxfId="1893" dataCellStyle="Total"/>
    <tableColumn id="10" name="9" totalsRowFunction="count" dataDxfId="1892" totalsRowDxfId="1891" dataCellStyle="Total"/>
    <tableColumn id="11" name="10" totalsRowFunction="count" dataDxfId="1890" totalsRowDxfId="1889" dataCellStyle="Total"/>
    <tableColumn id="12" name="11" totalsRowFunction="count" dataDxfId="1888" totalsRowDxfId="1887" dataCellStyle="Total"/>
    <tableColumn id="13" name="12" totalsRowFunction="count" dataDxfId="1886" totalsRowDxfId="1885" dataCellStyle="Total"/>
    <tableColumn id="14" name="13" totalsRowFunction="count" dataDxfId="1884" totalsRowDxfId="1883" dataCellStyle="Total"/>
    <tableColumn id="15" name="14" totalsRowFunction="count" dataDxfId="1882" totalsRowDxfId="1881" dataCellStyle="Total"/>
    <tableColumn id="16" name="15" totalsRowFunction="count" dataDxfId="1880" totalsRowDxfId="1879" dataCellStyle="Total"/>
    <tableColumn id="17" name="16" totalsRowFunction="count" dataDxfId="1878" totalsRowDxfId="1877" dataCellStyle="Total"/>
    <tableColumn id="18" name="17" totalsRowFunction="count" dataDxfId="1876" totalsRowDxfId="1875" dataCellStyle="Total"/>
    <tableColumn id="19" name="18" totalsRowFunction="count" dataDxfId="1874" totalsRowDxfId="1873" dataCellStyle="Total"/>
    <tableColumn id="20" name="19" totalsRowFunction="count" dataDxfId="1872" totalsRowDxfId="1871" dataCellStyle="Total"/>
    <tableColumn id="21" name="20" totalsRowFunction="count" dataDxfId="1870" totalsRowDxfId="1869" dataCellStyle="Total"/>
    <tableColumn id="22" name="21" totalsRowFunction="count" dataDxfId="1868" totalsRowDxfId="1867" dataCellStyle="Total"/>
    <tableColumn id="23" name="22" totalsRowFunction="count" dataDxfId="1866" totalsRowDxfId="1865" dataCellStyle="Total"/>
    <tableColumn id="24" name="23" totalsRowFunction="count" dataDxfId="1864" totalsRowDxfId="1863" dataCellStyle="Total"/>
    <tableColumn id="25" name="24" totalsRowFunction="count" dataDxfId="1862" totalsRowDxfId="1861" dataCellStyle="Total"/>
    <tableColumn id="26" name="25" totalsRowFunction="count" dataDxfId="1860" totalsRowDxfId="1859" dataCellStyle="Total"/>
    <tableColumn id="27" name="26" totalsRowFunction="count" dataDxfId="1858" totalsRowDxfId="1857" dataCellStyle="Total"/>
    <tableColumn id="28" name="27" totalsRowFunction="count" dataDxfId="1856" totalsRowDxfId="1855" dataCellStyle="Total"/>
    <tableColumn id="29" name="28" totalsRowFunction="count" dataDxfId="1854" totalsRowDxfId="1853" dataCellStyle="Total"/>
    <tableColumn id="30" name="29" totalsRowFunction="count" dataDxfId="1852" totalsRowDxfId="1851" dataCellStyle="Total"/>
    <tableColumn id="31" name=" " dataDxfId="1850" totalsRowDxfId="1849" dataCellStyle="Total"/>
    <tableColumn id="32" name="  " dataDxfId="1848" totalsRowDxfId="1847" dataCellStyle="Total"/>
    <tableColumn id="33" name="Total days" totalsRowFunction="sum" dataDxfId="1846" totalsRowDxfId="1845" dataCellStyle="Total">
      <calculatedColumnFormula>COUNTA(February[[#This Row],[1]:[29]])</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3.xml><?xml version="1.0" encoding="utf-8"?>
<table xmlns="http://schemas.openxmlformats.org/spreadsheetml/2006/main" id="14" name="March" displayName="March" ref="B8:AH14" totalsRowCount="1" headerRowDxfId="1844" dataDxfId="1843" totalsRowDxfId="1842">
  <tableColumns count="33">
    <tableColumn id="1" name="Employee name" totalsRowFunction="custom" dataDxfId="1841" totalsRowDxfId="1840" dataCellStyle="Employee">
      <totalsRowFormula>MonthName&amp;" Total"</totalsRowFormula>
    </tableColumn>
    <tableColumn id="2" name="1" totalsRowFunction="count" dataDxfId="1839" totalsRowDxfId="1838"/>
    <tableColumn id="3" name="2" totalsRowFunction="count" dataDxfId="1837" totalsRowDxfId="1836"/>
    <tableColumn id="4" name="3" totalsRowFunction="count" dataDxfId="1835" totalsRowDxfId="1834"/>
    <tableColumn id="5" name="4" totalsRowFunction="count" dataDxfId="1833" totalsRowDxfId="1832"/>
    <tableColumn id="6" name="5" totalsRowFunction="count" dataDxfId="1831" totalsRowDxfId="1830"/>
    <tableColumn id="7" name="6" totalsRowFunction="count" dataDxfId="1829" totalsRowDxfId="1828"/>
    <tableColumn id="8" name="7" totalsRowFunction="count" dataDxfId="1827" totalsRowDxfId="1826"/>
    <tableColumn id="9" name="8" totalsRowFunction="count" dataDxfId="1825" totalsRowDxfId="1824"/>
    <tableColumn id="10" name="9" totalsRowFunction="count" dataDxfId="1823" totalsRowDxfId="1822"/>
    <tableColumn id="11" name="10" totalsRowFunction="count" dataDxfId="1821" totalsRowDxfId="1820"/>
    <tableColumn id="12" name="11" totalsRowFunction="count" dataDxfId="1819" totalsRowDxfId="1818"/>
    <tableColumn id="13" name="12" totalsRowFunction="count" dataDxfId="1817" totalsRowDxfId="1816"/>
    <tableColumn id="14" name="13" totalsRowFunction="count" dataDxfId="1815" totalsRowDxfId="1814"/>
    <tableColumn id="15" name="14" totalsRowFunction="count" dataDxfId="1813" totalsRowDxfId="1812"/>
    <tableColumn id="16" name="15" totalsRowFunction="count" dataDxfId="1811" totalsRowDxfId="1810"/>
    <tableColumn id="17" name="16" totalsRowFunction="count" dataDxfId="1809" totalsRowDxfId="1808"/>
    <tableColumn id="18" name="17" totalsRowFunction="count" dataDxfId="1807" totalsRowDxfId="1806"/>
    <tableColumn id="19" name="18" totalsRowFunction="count" dataDxfId="1805" totalsRowDxfId="1804"/>
    <tableColumn id="20" name="19" totalsRowFunction="count" dataDxfId="1803" totalsRowDxfId="1802"/>
    <tableColumn id="21" name="20" totalsRowFunction="count" dataDxfId="1801" totalsRowDxfId="1800"/>
    <tableColumn id="22" name="21" totalsRowFunction="count" dataDxfId="1799" totalsRowDxfId="1798"/>
    <tableColumn id="23" name="22" totalsRowFunction="count" dataDxfId="1797" totalsRowDxfId="1796"/>
    <tableColumn id="24" name="23" totalsRowFunction="count" dataDxfId="1795" totalsRowDxfId="1794"/>
    <tableColumn id="25" name="24" totalsRowFunction="count" dataDxfId="1793" totalsRowDxfId="1792"/>
    <tableColumn id="26" name="25" totalsRowFunction="count" dataDxfId="1791" totalsRowDxfId="1790"/>
    <tableColumn id="27" name="26" totalsRowFunction="count" dataDxfId="1789" totalsRowDxfId="1788"/>
    <tableColumn id="28" name="27" totalsRowFunction="count" dataDxfId="1787" totalsRowDxfId="1786"/>
    <tableColumn id="29" name="28" totalsRowFunction="count" dataDxfId="1785" totalsRowDxfId="1784"/>
    <tableColumn id="30" name="29" totalsRowFunction="count" dataDxfId="1783" totalsRowDxfId="1782"/>
    <tableColumn id="31" name="30" totalsRowFunction="sum" dataDxfId="1781" totalsRowDxfId="1780"/>
    <tableColumn id="32" name="31" totalsRowFunction="sum" dataDxfId="1779" totalsRowDxfId="1778" dataCellStyle="Total"/>
    <tableColumn id="33" name="Total days" totalsRowFunction="sum" dataDxfId="1777" totalsRowDxfId="1776" dataCellStyle="Total">
      <calculatedColumnFormula>COUNTA(March[[#This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4.xml><?xml version="1.0" encoding="utf-8"?>
<table xmlns="http://schemas.openxmlformats.org/spreadsheetml/2006/main" id="4" name="March5" displayName="March5" ref="B8:AH17" totalsRowCount="1" headerRowDxfId="1775" dataDxfId="1774" totalsRowDxfId="1773">
  <tableColumns count="33">
    <tableColumn id="1" name="Employee name" totalsRowFunction="custom" dataDxfId="1772" totalsRowDxfId="1771" dataCellStyle="Employee">
      <totalsRowFormula>MonthName&amp;" Total"</totalsRowFormula>
    </tableColumn>
    <tableColumn id="2" name="1" totalsRowFunction="count" dataDxfId="1770" totalsRowDxfId="1769"/>
    <tableColumn id="3" name="2" totalsRowFunction="count" dataDxfId="1768" totalsRowDxfId="1767"/>
    <tableColumn id="4" name="3" totalsRowFunction="count" dataDxfId="1766" totalsRowDxfId="1765"/>
    <tableColumn id="5" name="4" totalsRowFunction="count" dataDxfId="1764" totalsRowDxfId="1763"/>
    <tableColumn id="6" name="5" totalsRowFunction="count" dataDxfId="1762" totalsRowDxfId="1761"/>
    <tableColumn id="7" name="6" totalsRowFunction="count" dataDxfId="1760" totalsRowDxfId="1759"/>
    <tableColumn id="8" name="7" totalsRowFunction="count" dataDxfId="1758" totalsRowDxfId="1757"/>
    <tableColumn id="9" name="8" totalsRowFunction="count" dataDxfId="1756" totalsRowDxfId="1755"/>
    <tableColumn id="10" name="9" totalsRowFunction="count" dataDxfId="1754" totalsRowDxfId="1753"/>
    <tableColumn id="11" name="10" totalsRowFunction="count" dataDxfId="1752" totalsRowDxfId="1751"/>
    <tableColumn id="12" name="11" totalsRowFunction="count" dataDxfId="1750" totalsRowDxfId="1749"/>
    <tableColumn id="13" name="12" totalsRowFunction="count" dataDxfId="1748" totalsRowDxfId="1747"/>
    <tableColumn id="14" name="13" totalsRowFunction="count" dataDxfId="1746" totalsRowDxfId="1745"/>
    <tableColumn id="15" name="14" totalsRowFunction="count" dataDxfId="1744" totalsRowDxfId="1743"/>
    <tableColumn id="16" name="15" totalsRowFunction="count" dataDxfId="1742" totalsRowDxfId="1741"/>
    <tableColumn id="17" name="16" totalsRowFunction="count" dataDxfId="1740" totalsRowDxfId="1739"/>
    <tableColumn id="18" name="17" totalsRowFunction="count" dataDxfId="1738" totalsRowDxfId="1737"/>
    <tableColumn id="19" name="18" totalsRowFunction="count" dataDxfId="1736" totalsRowDxfId="1735"/>
    <tableColumn id="20" name="19" totalsRowFunction="count" dataDxfId="1734" totalsRowDxfId="1733"/>
    <tableColumn id="21" name="20" totalsRowFunction="count" dataDxfId="1732" totalsRowDxfId="1731"/>
    <tableColumn id="22" name="21" totalsRowFunction="count" dataDxfId="1730" totalsRowDxfId="1729"/>
    <tableColumn id="23" name="22" totalsRowFunction="count" dataDxfId="1728" totalsRowDxfId="1727"/>
    <tableColumn id="24" name="23" totalsRowFunction="count" dataDxfId="1726" totalsRowDxfId="1725"/>
    <tableColumn id="25" name="24" totalsRowFunction="count" dataDxfId="1724" totalsRowDxfId="1723"/>
    <tableColumn id="26" name="25" totalsRowFunction="count" dataDxfId="1722" totalsRowDxfId="1721"/>
    <tableColumn id="27" name="26" totalsRowFunction="count" dataDxfId="1720" totalsRowDxfId="1719"/>
    <tableColumn id="28" name="27" totalsRowFunction="count" dataDxfId="1718" totalsRowDxfId="1717"/>
    <tableColumn id="29" name="28" totalsRowFunction="count" dataDxfId="1716" totalsRowDxfId="1715"/>
    <tableColumn id="30" name="29" totalsRowFunction="count" dataDxfId="1714" totalsRowDxfId="1713"/>
    <tableColumn id="31" name="30" totalsRowFunction="sum" dataDxfId="1712" totalsRowDxfId="1711"/>
    <tableColumn id="32" name=" " totalsRowFunction="sum" dataDxfId="1710" totalsRowDxfId="1709" dataCellStyle="Total"/>
    <tableColumn id="33" name="Total days" totalsRowFunction="sum" dataDxfId="1708" totalsRowDxfId="1707" dataCellStyle="Total">
      <calculatedColumnFormula>COUNTA(March5[[#This Row],[1]:[ ]])</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5.xml><?xml version="1.0" encoding="utf-8"?>
<table xmlns="http://schemas.openxmlformats.org/spreadsheetml/2006/main" id="7" name="March58" displayName="March58" ref="B8:AH20" totalsRowCount="1" headerRowDxfId="1706" dataDxfId="1705" totalsRowDxfId="1704">
  <tableColumns count="33">
    <tableColumn id="1" name="Employee name" totalsRowFunction="custom" dataDxfId="1703" totalsRowDxfId="1702" dataCellStyle="Employee">
      <totalsRowFormula>MonthName&amp;" Total"</totalsRowFormula>
    </tableColumn>
    <tableColumn id="2" name="1" totalsRowFunction="count" dataDxfId="1701" totalsRowDxfId="1700"/>
    <tableColumn id="3" name="2" totalsRowFunction="count" dataDxfId="1699" totalsRowDxfId="1698"/>
    <tableColumn id="4" name="3" totalsRowFunction="count" dataDxfId="1697" totalsRowDxfId="1696"/>
    <tableColumn id="5" name="4" totalsRowFunction="count" dataDxfId="1695" totalsRowDxfId="1694"/>
    <tableColumn id="6" name="5" totalsRowFunction="count" dataDxfId="1693" totalsRowDxfId="1692"/>
    <tableColumn id="7" name="6" totalsRowFunction="count" dataDxfId="1691" totalsRowDxfId="1690"/>
    <tableColumn id="8" name="7" totalsRowFunction="count" dataDxfId="1689" totalsRowDxfId="1688"/>
    <tableColumn id="9" name="8" totalsRowFunction="count" dataDxfId="1687" totalsRowDxfId="1686"/>
    <tableColumn id="10" name="9" totalsRowFunction="count" dataDxfId="1685" totalsRowDxfId="1684"/>
    <tableColumn id="11" name="10" totalsRowFunction="count" dataDxfId="1683" totalsRowDxfId="1682"/>
    <tableColumn id="12" name="11" totalsRowFunction="count" dataDxfId="1681" totalsRowDxfId="1680"/>
    <tableColumn id="13" name="12" totalsRowFunction="count" dataDxfId="1679" totalsRowDxfId="1678"/>
    <tableColumn id="14" name="13" totalsRowFunction="count" dataDxfId="1677" totalsRowDxfId="1676"/>
    <tableColumn id="15" name="14" totalsRowFunction="count" dataDxfId="1675" totalsRowDxfId="1674"/>
    <tableColumn id="16" name="15" totalsRowFunction="count" dataDxfId="1673" totalsRowDxfId="1672"/>
    <tableColumn id="17" name="16" totalsRowFunction="count" dataDxfId="1671" totalsRowDxfId="1670"/>
    <tableColumn id="18" name="17" totalsRowFunction="count" dataDxfId="1669" totalsRowDxfId="1668"/>
    <tableColumn id="19" name="18" totalsRowFunction="count" dataDxfId="1667" totalsRowDxfId="1666"/>
    <tableColumn id="20" name="19" totalsRowFunction="count" dataDxfId="1665" totalsRowDxfId="1664"/>
    <tableColumn id="21" name="20" totalsRowFunction="count" dataDxfId="1663" totalsRowDxfId="1662"/>
    <tableColumn id="22" name="21" totalsRowFunction="count" dataDxfId="1661" totalsRowDxfId="1660"/>
    <tableColumn id="23" name="22" totalsRowFunction="count" dataDxfId="1659" totalsRowDxfId="1658"/>
    <tableColumn id="24" name="23" totalsRowFunction="count" dataDxfId="1657" totalsRowDxfId="1656"/>
    <tableColumn id="25" name="24" totalsRowFunction="count" dataDxfId="1655" totalsRowDxfId="1654"/>
    <tableColumn id="26" name="25" totalsRowFunction="count" dataDxfId="1653" totalsRowDxfId="1652"/>
    <tableColumn id="27" name="26" totalsRowFunction="count" dataDxfId="1651" totalsRowDxfId="1650"/>
    <tableColumn id="28" name="27" totalsRowFunction="count" dataDxfId="1649" totalsRowDxfId="1648"/>
    <tableColumn id="29" name="28" totalsRowFunction="count" dataDxfId="1647" totalsRowDxfId="1646"/>
    <tableColumn id="30" name="29" totalsRowFunction="count" dataDxfId="1645" totalsRowDxfId="1644"/>
    <tableColumn id="31" name="30" totalsRowFunction="sum" dataDxfId="1643" totalsRowDxfId="1642"/>
    <tableColumn id="32" name="31" totalsRowFunction="sum" dataDxfId="1641" totalsRowDxfId="1640" dataCellStyle="Total"/>
    <tableColumn id="33" name="Working Day" totalsRowFunction="custom" dataDxfId="1639" totalsRowDxfId="1638" dataCellStyle="Total">
      <calculatedColumnFormula>COUNTA(March58[[#This Row],[1]:[31]])</calculatedColumnFormula>
      <totalsRowFormula>COUNTA(June[[#This Row],[1]:[ ]])</totalsRow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6.xml><?xml version="1.0" encoding="utf-8"?>
<table xmlns="http://schemas.openxmlformats.org/spreadsheetml/2006/main" id="17" name="June" displayName="June" ref="B8:AI21" totalsRowCount="1" headerRowDxfId="1637" dataDxfId="1636" totalsRowDxfId="1635">
  <tableColumns count="34">
    <tableColumn id="1" name="Employee name" totalsRowFunction="custom" dataDxfId="1634" totalsRowDxfId="1633" dataCellStyle="Employee">
      <totalsRowFormula>MonthName&amp;" Total"</totalsRowFormula>
    </tableColumn>
    <tableColumn id="2" name="1" totalsRowFunction="count" dataDxfId="1632" totalsRowDxfId="1631"/>
    <tableColumn id="3" name="2" totalsRowFunction="count" dataDxfId="1630" totalsRowDxfId="1629"/>
    <tableColumn id="4" name="3" totalsRowFunction="count" dataDxfId="1628" totalsRowDxfId="1627"/>
    <tableColumn id="5" name="4" totalsRowFunction="count" dataDxfId="1626" totalsRowDxfId="1625"/>
    <tableColumn id="6" name="5" totalsRowFunction="count" dataDxfId="1624" totalsRowDxfId="1623"/>
    <tableColumn id="7" name="6" totalsRowFunction="count" dataDxfId="1622" totalsRowDxfId="1621"/>
    <tableColumn id="8" name="7" totalsRowFunction="count" dataDxfId="1620" totalsRowDxfId="1619"/>
    <tableColumn id="9" name="8" totalsRowFunction="count" dataDxfId="1618" totalsRowDxfId="1617"/>
    <tableColumn id="10" name="9" totalsRowFunction="count" dataDxfId="1616" totalsRowDxfId="1615"/>
    <tableColumn id="11" name="10" totalsRowFunction="count" dataDxfId="1614" totalsRowDxfId="1613"/>
    <tableColumn id="12" name="11" totalsRowFunction="count" dataDxfId="1612" totalsRowDxfId="1611"/>
    <tableColumn id="13" name="12" totalsRowFunction="count" dataDxfId="1610" totalsRowDxfId="1609"/>
    <tableColumn id="14" name="13" totalsRowFunction="count" dataDxfId="1608" totalsRowDxfId="1607"/>
    <tableColumn id="15" name="14" totalsRowFunction="count" dataDxfId="1606" totalsRowDxfId="1605"/>
    <tableColumn id="16" name="15" totalsRowFunction="count" dataDxfId="1604" totalsRowDxfId="1603"/>
    <tableColumn id="17" name="16" totalsRowFunction="count" dataDxfId="1602" totalsRowDxfId="1601"/>
    <tableColumn id="18" name="17" totalsRowFunction="count" dataDxfId="1600" totalsRowDxfId="1599"/>
    <tableColumn id="19" name="18" totalsRowFunction="count" dataDxfId="1598" totalsRowDxfId="1597"/>
    <tableColumn id="20" name="19" totalsRowFunction="count" dataDxfId="1596" totalsRowDxfId="1595"/>
    <tableColumn id="21" name="20" totalsRowFunction="count" dataDxfId="1594" totalsRowDxfId="1593"/>
    <tableColumn id="22" name="21" totalsRowFunction="count" dataDxfId="1592" totalsRowDxfId="1591"/>
    <tableColumn id="23" name="22" totalsRowFunction="count" dataDxfId="1590" totalsRowDxfId="1589"/>
    <tableColumn id="24" name="23" totalsRowFunction="count" dataDxfId="1588" totalsRowDxfId="1587"/>
    <tableColumn id="25" name="24" totalsRowFunction="count" dataDxfId="1586" totalsRowDxfId="1585"/>
    <tableColumn id="26" name="25" totalsRowFunction="count" dataDxfId="1584" totalsRowDxfId="1583"/>
    <tableColumn id="27" name="26" totalsRowFunction="count" dataDxfId="1582" totalsRowDxfId="1581"/>
    <tableColumn id="28" name="27" totalsRowFunction="count" dataDxfId="1580" totalsRowDxfId="1579"/>
    <tableColumn id="29" name="28" totalsRowFunction="count" dataDxfId="1578" totalsRowDxfId="1577"/>
    <tableColumn id="30" name="29" totalsRowFunction="count" dataDxfId="1576" totalsRowDxfId="1575"/>
    <tableColumn id="31" name="30" totalsRowFunction="sum" dataDxfId="1574" totalsRowDxfId="1573"/>
    <tableColumn id="32" name=" " totalsRowFunction="sum" dataDxfId="1572" totalsRowDxfId="1571" dataCellStyle="Total"/>
    <tableColumn id="34" name="OT, day" dataDxfId="1570" totalsRowDxfId="1569" dataCellStyle="Total"/>
    <tableColumn id="33" name="Working Day" totalsRowFunction="sum" dataDxfId="1568" totalsRowDxfId="1567" dataCellStyle="Total">
      <calculatedColumnFormula>COUNTA(June[[#This Row],[1]:[ ]])</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7.xml><?xml version="1.0" encoding="utf-8"?>
<table xmlns="http://schemas.openxmlformats.org/spreadsheetml/2006/main" id="18" name="July" displayName="July" ref="B8:AH18" totalsRowCount="1" headerRowDxfId="1566" dataDxfId="1565" totalsRowDxfId="1564">
  <tableColumns count="33">
    <tableColumn id="1" name="Employee name" totalsRowFunction="custom" dataDxfId="1563" totalsRowDxfId="1562" dataCellStyle="Employee">
      <totalsRowFormula>MonthName&amp;" Total"</totalsRowFormula>
    </tableColumn>
    <tableColumn id="2" name="1" totalsRowFunction="count" dataDxfId="1561" totalsRowDxfId="1560"/>
    <tableColumn id="3" name="2" totalsRowFunction="count" dataDxfId="1559" totalsRowDxfId="1558"/>
    <tableColumn id="4" name="3" totalsRowFunction="count" dataDxfId="1557" totalsRowDxfId="1556"/>
    <tableColumn id="5" name="4" totalsRowFunction="count" dataDxfId="1555" totalsRowDxfId="1554"/>
    <tableColumn id="6" name="5" totalsRowFunction="count" dataDxfId="1553" totalsRowDxfId="1552"/>
    <tableColumn id="7" name="6" totalsRowFunction="count" dataDxfId="1551" totalsRowDxfId="1550"/>
    <tableColumn id="8" name="7" totalsRowFunction="count" dataDxfId="1549" totalsRowDxfId="1548"/>
    <tableColumn id="9" name="8" totalsRowFunction="count" dataDxfId="1547" totalsRowDxfId="1546"/>
    <tableColumn id="10" name="9" totalsRowFunction="count" dataDxfId="1545" totalsRowDxfId="1544"/>
    <tableColumn id="11" name="10" totalsRowFunction="count" dataDxfId="1543" totalsRowDxfId="1542"/>
    <tableColumn id="12" name="11" totalsRowFunction="count" dataDxfId="1541" totalsRowDxfId="1540"/>
    <tableColumn id="13" name="12" totalsRowFunction="count" dataDxfId="1539" totalsRowDxfId="1538"/>
    <tableColumn id="14" name="13" totalsRowFunction="count" dataDxfId="1537" totalsRowDxfId="1536"/>
    <tableColumn id="15" name="14" totalsRowFunction="count" dataDxfId="1535" totalsRowDxfId="1534"/>
    <tableColumn id="16" name="15" totalsRowFunction="count" dataDxfId="1533" totalsRowDxfId="1532"/>
    <tableColumn id="17" name="16" totalsRowFunction="count" dataDxfId="1531" totalsRowDxfId="1530"/>
    <tableColumn id="18" name="17" totalsRowFunction="count" dataDxfId="1529" totalsRowDxfId="1528"/>
    <tableColumn id="19" name="18" totalsRowFunction="count" dataDxfId="1527" totalsRowDxfId="1526"/>
    <tableColumn id="20" name="19" totalsRowFunction="count" dataDxfId="1525" totalsRowDxfId="1524"/>
    <tableColumn id="21" name="20" totalsRowFunction="count" dataDxfId="1523" totalsRowDxfId="1522"/>
    <tableColumn id="22" name="21" totalsRowFunction="count" dataDxfId="1521" totalsRowDxfId="1520"/>
    <tableColumn id="23" name="22" totalsRowFunction="count" dataDxfId="1519" totalsRowDxfId="1518"/>
    <tableColumn id="24" name="23" totalsRowFunction="count" dataDxfId="1517" totalsRowDxfId="1516"/>
    <tableColumn id="25" name="24" totalsRowFunction="count" dataDxfId="1515" totalsRowDxfId="1514"/>
    <tableColumn id="26" name="25" totalsRowFunction="count" dataDxfId="1513" totalsRowDxfId="1512"/>
    <tableColumn id="27" name="26" totalsRowFunction="count" dataDxfId="1511" totalsRowDxfId="1510"/>
    <tableColumn id="28" name="27" totalsRowFunction="count" dataDxfId="1509" totalsRowDxfId="1508"/>
    <tableColumn id="29" name="28" totalsRowFunction="count" dataDxfId="1507" totalsRowDxfId="1506"/>
    <tableColumn id="30" name="29" totalsRowFunction="count" dataDxfId="1505" totalsRowDxfId="1504"/>
    <tableColumn id="31" name="30" totalsRowFunction="sum" dataDxfId="1503" totalsRowDxfId="1502"/>
    <tableColumn id="32" name="31" totalsRowFunction="sum" dataDxfId="1501" totalsRowDxfId="1500" dataCellStyle="Total"/>
    <tableColumn id="33" name="Total days" totalsRowFunction="sum" dataDxfId="1499" totalsRowDxfId="1498" dataCellStyle="Total">
      <calculatedColumnFormula>COUNTA(July[[#This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8.xml><?xml version="1.0" encoding="utf-8"?>
<table xmlns="http://schemas.openxmlformats.org/spreadsheetml/2006/main" id="19" name="August" displayName="August" ref="B8:AH16" totalsRowCount="1" headerRowDxfId="1497" dataDxfId="1496" totalsRowDxfId="1495">
  <tableColumns count="33">
    <tableColumn id="1" name="Employee name" dataDxfId="1494" totalsRowDxfId="1493" dataCellStyle="Employee"/>
    <tableColumn id="2" name="1" totalsRowFunction="count" dataDxfId="1492" totalsRowDxfId="1491"/>
    <tableColumn id="3" name="2" totalsRowFunction="count" dataDxfId="1490" totalsRowDxfId="1489"/>
    <tableColumn id="4" name="3" totalsRowFunction="count" dataDxfId="1488" totalsRowDxfId="1487"/>
    <tableColumn id="5" name="4" totalsRowFunction="count" dataDxfId="1486" totalsRowDxfId="1485"/>
    <tableColumn id="6" name="5" totalsRowFunction="count" dataDxfId="1484" totalsRowDxfId="1483"/>
    <tableColumn id="7" name="6" totalsRowFunction="count" dataDxfId="1482" totalsRowDxfId="1481"/>
    <tableColumn id="8" name="7" totalsRowFunction="count" dataDxfId="1480" totalsRowDxfId="1479"/>
    <tableColumn id="9" name="8" totalsRowFunction="count" dataDxfId="1478" totalsRowDxfId="1477"/>
    <tableColumn id="10" name="9" totalsRowFunction="count" dataDxfId="1476" totalsRowDxfId="1475"/>
    <tableColumn id="11" name="10" totalsRowFunction="count" dataDxfId="1474" totalsRowDxfId="1473"/>
    <tableColumn id="12" name="11" totalsRowFunction="count" dataDxfId="1472" totalsRowDxfId="1471"/>
    <tableColumn id="13" name="12" totalsRowFunction="count" dataDxfId="1470" totalsRowDxfId="1469"/>
    <tableColumn id="14" name="13" totalsRowFunction="count" dataDxfId="1468" totalsRowDxfId="1467"/>
    <tableColumn id="15" name="14" totalsRowFunction="count" dataDxfId="1466" totalsRowDxfId="1465"/>
    <tableColumn id="16" name="15" totalsRowFunction="count" dataDxfId="1464" totalsRowDxfId="1463"/>
    <tableColumn id="17" name="16" totalsRowFunction="count" dataDxfId="1462" totalsRowDxfId="1461"/>
    <tableColumn id="18" name="17" totalsRowFunction="count" dataDxfId="1460" totalsRowDxfId="1459"/>
    <tableColumn id="19" name="18" totalsRowFunction="count" dataDxfId="1458" totalsRowDxfId="1457"/>
    <tableColumn id="20" name="19" totalsRowFunction="count" dataDxfId="1456" totalsRowDxfId="1455"/>
    <tableColumn id="21" name="20" totalsRowFunction="count" dataDxfId="1454" totalsRowDxfId="1453"/>
    <tableColumn id="22" name="21" totalsRowFunction="count" dataDxfId="1452" totalsRowDxfId="1451"/>
    <tableColumn id="23" name="22" totalsRowFunction="count" dataDxfId="1450" totalsRowDxfId="1449"/>
    <tableColumn id="24" name="23" totalsRowFunction="count" dataDxfId="1448" totalsRowDxfId="1447"/>
    <tableColumn id="25" name="24" totalsRowFunction="count" dataDxfId="1446" totalsRowDxfId="1445"/>
    <tableColumn id="26" name="25" totalsRowFunction="count" dataDxfId="1444" totalsRowDxfId="1443"/>
    <tableColumn id="27" name="26" totalsRowFunction="count" dataDxfId="1442" totalsRowDxfId="1441"/>
    <tableColumn id="28" name="27" totalsRowFunction="count" dataDxfId="1440" totalsRowDxfId="1439"/>
    <tableColumn id="29" name="28" totalsRowFunction="count" dataDxfId="1438" totalsRowDxfId="1437"/>
    <tableColumn id="30" name="29" totalsRowFunction="count" dataDxfId="1436" totalsRowDxfId="1435"/>
    <tableColumn id="31" name="30" totalsRowFunction="sum" dataDxfId="1434" totalsRowDxfId="1433"/>
    <tableColumn id="32" name="31" totalsRowFunction="sum" dataDxfId="1432" totalsRowDxfId="1431" dataCellStyle="Total"/>
    <tableColumn id="33" name="Total days" totalsRowFunction="sum" dataDxfId="1430" totalsRowDxfId="1429" dataCellStyle="Total">
      <calculatedColumnFormula>COUNTA(August[[#This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9.xml><?xml version="1.0" encoding="utf-8"?>
<table xmlns="http://schemas.openxmlformats.org/spreadsheetml/2006/main" id="20" name="September" displayName="September" ref="B8:AH16" totalsRowCount="1" headerRowDxfId="1428" dataDxfId="1427" totalsRowDxfId="1426">
  <tableColumns count="33">
    <tableColumn id="1" name="Employee name" totalsRowFunction="custom" dataDxfId="1425" totalsRowDxfId="1424" dataCellStyle="Employee">
      <totalsRowFormula>MonthName&amp;" Total"</totalsRowFormula>
    </tableColumn>
    <tableColumn id="2" name="1" totalsRowFunction="count" dataDxfId="1423" totalsRowDxfId="1422"/>
    <tableColumn id="3" name="2" totalsRowFunction="count" dataDxfId="1421" totalsRowDxfId="1420"/>
    <tableColumn id="4" name="3" totalsRowFunction="count" dataDxfId="1419" totalsRowDxfId="1418"/>
    <tableColumn id="5" name="4" totalsRowFunction="count" dataDxfId="1417" totalsRowDxfId="1416"/>
    <tableColumn id="6" name="5" totalsRowFunction="count" dataDxfId="1415" totalsRowDxfId="1414"/>
    <tableColumn id="7" name="6" totalsRowFunction="count" dataDxfId="1413" totalsRowDxfId="1412" dataCellStyle="60% - Accent3"/>
    <tableColumn id="8" name="7" totalsRowFunction="count" dataDxfId="1411" totalsRowDxfId="1410"/>
    <tableColumn id="9" name="8" totalsRowFunction="count" dataDxfId="1409" totalsRowDxfId="1408"/>
    <tableColumn id="10" name="9" totalsRowFunction="count" dataDxfId="1407" totalsRowDxfId="1406"/>
    <tableColumn id="11" name="10" totalsRowFunction="count" dataDxfId="1405" totalsRowDxfId="1404"/>
    <tableColumn id="12" name="11" totalsRowFunction="count" dataDxfId="1403" totalsRowDxfId="1402"/>
    <tableColumn id="13" name="12" totalsRowFunction="count" dataDxfId="1401" totalsRowDxfId="1400"/>
    <tableColumn id="14" name="13" totalsRowFunction="count" dataDxfId="1399" totalsRowDxfId="1398"/>
    <tableColumn id="15" name="14" totalsRowFunction="count" dataDxfId="1397" totalsRowDxfId="1396"/>
    <tableColumn id="16" name="15" totalsRowFunction="count" dataDxfId="1395" totalsRowDxfId="1394"/>
    <tableColumn id="17" name="16" totalsRowFunction="count" dataDxfId="1393" totalsRowDxfId="1392"/>
    <tableColumn id="18" name="17" totalsRowFunction="count" dataDxfId="1391" totalsRowDxfId="1390"/>
    <tableColumn id="19" name="18" totalsRowFunction="count" dataDxfId="1389" totalsRowDxfId="1388"/>
    <tableColumn id="20" name="19" totalsRowFunction="count" dataDxfId="1387" totalsRowDxfId="1386"/>
    <tableColumn id="21" name="20" totalsRowFunction="count" dataDxfId="1385" totalsRowDxfId="1384"/>
    <tableColumn id="22" name="21" totalsRowFunction="count" dataDxfId="1383" totalsRowDxfId="1382"/>
    <tableColumn id="23" name="22" totalsRowFunction="count" dataDxfId="1381" totalsRowDxfId="1380"/>
    <tableColumn id="24" name="23" totalsRowFunction="count" dataDxfId="1379" totalsRowDxfId="1378"/>
    <tableColumn id="25" name="24" totalsRowFunction="count" dataDxfId="1377" totalsRowDxfId="1376"/>
    <tableColumn id="26" name="25" totalsRowFunction="count" dataDxfId="1375" totalsRowDxfId="1374"/>
    <tableColumn id="27" name="26" totalsRowFunction="count" dataDxfId="1373" totalsRowDxfId="1372"/>
    <tableColumn id="28" name="27" totalsRowFunction="count" dataDxfId="1371" totalsRowDxfId="1370"/>
    <tableColumn id="29" name="28" totalsRowFunction="count" dataDxfId="1369" totalsRowDxfId="1368"/>
    <tableColumn id="30" name="29" totalsRowFunction="count" dataDxfId="1367" totalsRowDxfId="1366"/>
    <tableColumn id="31" name="30" totalsRowFunction="sum" dataDxfId="1365" totalsRowDxfId="1364"/>
    <tableColumn id="32" name=" " totalsRowFunction="sum" dataDxfId="1363" totalsRowDxfId="1362" dataCellStyle="Total"/>
    <tableColumn id="33" name="Total days" totalsRowFunction="sum" dataDxfId="1361" totalsRowDxfId="1360" dataCellStyle="Total">
      <calculatedColumnFormula>COUNTA(September[[#This Row],[1]:[ ]])</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0.xml><?xml version="1.0" encoding="utf-8"?>
<table xmlns="http://schemas.openxmlformats.org/spreadsheetml/2006/main" id="21" name="October" displayName="October" ref="C8:AI22" totalsRowCount="1" headerRowDxfId="1359" dataDxfId="1358" totalsRowDxfId="1357">
  <tableColumns count="33">
    <tableColumn id="1" name="Employee name" totalsRowFunction="custom" dataDxfId="1356" totalsRowDxfId="1355" dataCellStyle="Employee">
      <totalsRowFormula>MonthName&amp;" Total"</totalsRowFormula>
    </tableColumn>
    <tableColumn id="2" name="1" totalsRowFunction="count" dataDxfId="1354" totalsRowDxfId="1353"/>
    <tableColumn id="3" name="2" totalsRowFunction="count" dataDxfId="1352" totalsRowDxfId="1351"/>
    <tableColumn id="4" name="3" totalsRowFunction="count" dataDxfId="1350" totalsRowDxfId="1349"/>
    <tableColumn id="5" name="4" totalsRowFunction="count" dataDxfId="1348" totalsRowDxfId="1347"/>
    <tableColumn id="6" name="5" totalsRowFunction="count" dataDxfId="1346" totalsRowDxfId="1345"/>
    <tableColumn id="7" name="6" totalsRowFunction="count" dataDxfId="1344" totalsRowDxfId="1343"/>
    <tableColumn id="8" name="7" totalsRowFunction="count" dataDxfId="1342" totalsRowDxfId="1341"/>
    <tableColumn id="9" name="8" totalsRowFunction="count" dataDxfId="1340" totalsRowDxfId="1339"/>
    <tableColumn id="10" name="9" totalsRowFunction="count" dataDxfId="1338" totalsRowDxfId="1337"/>
    <tableColumn id="11" name="10" totalsRowFunction="count" dataDxfId="1336" totalsRowDxfId="1335"/>
    <tableColumn id="12" name="11" totalsRowFunction="count" dataDxfId="1334" totalsRowDxfId="1333"/>
    <tableColumn id="13" name="12" totalsRowFunction="count" dataDxfId="1332" totalsRowDxfId="1331"/>
    <tableColumn id="14" name="13" totalsRowFunction="count" dataDxfId="1330" totalsRowDxfId="1329"/>
    <tableColumn id="15" name="14" totalsRowFunction="count" dataDxfId="1328" totalsRowDxfId="1327"/>
    <tableColumn id="16" name="15" totalsRowFunction="count" dataDxfId="1326" totalsRowDxfId="1325"/>
    <tableColumn id="17" name="16" totalsRowFunction="count" dataDxfId="1324" totalsRowDxfId="1323"/>
    <tableColumn id="18" name="17" totalsRowFunction="count" dataDxfId="1322" totalsRowDxfId="1321"/>
    <tableColumn id="19" name="18" totalsRowFunction="count" dataDxfId="1320" totalsRowDxfId="1319"/>
    <tableColumn id="20" name="19" totalsRowFunction="count" dataDxfId="1318" totalsRowDxfId="1317"/>
    <tableColumn id="21" name="20" totalsRowFunction="count" dataDxfId="1316" totalsRowDxfId="1315"/>
    <tableColumn id="22" name="21" totalsRowFunction="count" dataDxfId="1314" totalsRowDxfId="1313"/>
    <tableColumn id="23" name="22" totalsRowFunction="count" dataDxfId="1312" totalsRowDxfId="1311"/>
    <tableColumn id="24" name="23" totalsRowFunction="count" dataDxfId="1310" totalsRowDxfId="1309"/>
    <tableColumn id="25" name="24" totalsRowFunction="count" dataDxfId="1308" totalsRowDxfId="1307"/>
    <tableColumn id="26" name="25" totalsRowFunction="count" dataDxfId="1306" totalsRowDxfId="1305"/>
    <tableColumn id="27" name="26" totalsRowFunction="count" dataDxfId="1304" totalsRowDxfId="1303"/>
    <tableColumn id="28" name="27" totalsRowFunction="count" dataDxfId="1302" totalsRowDxfId="1301"/>
    <tableColumn id="29" name="28" totalsRowFunction="count" dataDxfId="1300" totalsRowDxfId="1299"/>
    <tableColumn id="30" name="29" totalsRowFunction="count" dataDxfId="1298" totalsRowDxfId="1297"/>
    <tableColumn id="31" name="30" totalsRowFunction="sum" dataDxfId="1296" totalsRowDxfId="1295"/>
    <tableColumn id="32" name="31" totalsRowFunction="sum" dataDxfId="1294" totalsRowDxfId="1293" dataCellStyle="Total"/>
    <tableColumn id="33" name="Total days" totalsRowFunction="sum" dataDxfId="1292" totalsRowDxfId="1291" dataCellStyle="Total">
      <calculatedColumnFormula>COUNTA(October[[#This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1.xml><?xml version="1.0" encoding="utf-8"?>
<table xmlns="http://schemas.openxmlformats.org/spreadsheetml/2006/main" id="22" name="November" displayName="November" ref="C8:AI25" totalsRowCount="1" headerRowDxfId="1290" dataDxfId="1289" totalsRowDxfId="1288">
  <tableColumns count="33">
    <tableColumn id="1" name="Employee name" totalsRowFunction="custom" dataDxfId="1287" totalsRowDxfId="1286" dataCellStyle="Employee">
      <totalsRowFormula>MonthName&amp;" Total"</totalsRowFormula>
    </tableColumn>
    <tableColumn id="2" name="1" totalsRowFunction="count" dataDxfId="1285" totalsRowDxfId="1284"/>
    <tableColumn id="3" name="2" totalsRowFunction="count" dataDxfId="1283" totalsRowDxfId="1282"/>
    <tableColumn id="4" name="3" totalsRowFunction="count" dataDxfId="1281" totalsRowDxfId="1280"/>
    <tableColumn id="5" name="4" totalsRowFunction="count" dataDxfId="1279" totalsRowDxfId="1278"/>
    <tableColumn id="6" name="5" totalsRowFunction="count" dataDxfId="1277" totalsRowDxfId="1276"/>
    <tableColumn id="7" name="6" totalsRowFunction="count" dataDxfId="1275" totalsRowDxfId="1274"/>
    <tableColumn id="8" name="7" totalsRowFunction="count" dataDxfId="1273" totalsRowDxfId="1272"/>
    <tableColumn id="9" name="8" totalsRowFunction="count" dataDxfId="1271" totalsRowDxfId="1270"/>
    <tableColumn id="10" name="9" totalsRowFunction="count" dataDxfId="1269" totalsRowDxfId="1268"/>
    <tableColumn id="11" name="10" totalsRowFunction="count" dataDxfId="1267" totalsRowDxfId="1266"/>
    <tableColumn id="12" name="11" totalsRowFunction="count" dataDxfId="1265" totalsRowDxfId="1264"/>
    <tableColumn id="13" name="12" totalsRowFunction="count" dataDxfId="1263" totalsRowDxfId="1262"/>
    <tableColumn id="14" name="13" totalsRowFunction="count" dataDxfId="1261" totalsRowDxfId="1260"/>
    <tableColumn id="15" name="14" totalsRowFunction="count" dataDxfId="1259" totalsRowDxfId="1258"/>
    <tableColumn id="16" name="15" totalsRowFunction="count" dataDxfId="1257" totalsRowDxfId="1256"/>
    <tableColumn id="17" name="16" totalsRowFunction="count" dataDxfId="1255" totalsRowDxfId="1254"/>
    <tableColumn id="18" name="17" totalsRowFunction="count" dataDxfId="1253" totalsRowDxfId="1252"/>
    <tableColumn id="19" name="18" totalsRowFunction="count" dataDxfId="1251" totalsRowDxfId="1250"/>
    <tableColumn id="20" name="19" totalsRowFunction="count" dataDxfId="1249" totalsRowDxfId="1248"/>
    <tableColumn id="21" name="20" totalsRowFunction="count" dataDxfId="1247" totalsRowDxfId="1246"/>
    <tableColumn id="22" name="21" totalsRowFunction="count" dataDxfId="1245" totalsRowDxfId="1244"/>
    <tableColumn id="23" name="22" totalsRowFunction="count" dataDxfId="1243" totalsRowDxfId="1242"/>
    <tableColumn id="24" name="23" totalsRowFunction="count" dataDxfId="1241" totalsRowDxfId="1240"/>
    <tableColumn id="25" name="24" totalsRowFunction="count" dataDxfId="1239" totalsRowDxfId="1238"/>
    <tableColumn id="26" name="25" totalsRowFunction="count" dataDxfId="1237" totalsRowDxfId="1236"/>
    <tableColumn id="27" name="26" totalsRowFunction="count" dataDxfId="1235" totalsRowDxfId="1234"/>
    <tableColumn id="28" name="27" totalsRowFunction="count" dataDxfId="1233" totalsRowDxfId="1232"/>
    <tableColumn id="29" name="28" totalsRowFunction="count" dataDxfId="1231" totalsRowDxfId="1230"/>
    <tableColumn id="30" name="29" totalsRowFunction="count" dataDxfId="1229" totalsRowDxfId="1228"/>
    <tableColumn id="31" name="30" totalsRowFunction="sum" dataDxfId="1227" totalsRowDxfId="1226"/>
    <tableColumn id="32" name=" " totalsRowFunction="sum" dataDxfId="1225" totalsRowDxfId="1224" dataCellStyle="Total"/>
    <tableColumn id="33" name="Total days" totalsRowFunction="sum" dataDxfId="1223" totalsRowDxfId="1222" dataCellStyle="Total">
      <calculatedColumnFormula>COUNTA(November[[#This Row],[1]:[ ]])</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2.xml><?xml version="1.0" encoding="utf-8"?>
<table xmlns="http://schemas.openxmlformats.org/spreadsheetml/2006/main" id="12" name="December" displayName="December" ref="B8:AH14" totalsRowCount="1" headerRowDxfId="1221" dataDxfId="1220" totalsRowDxfId="1219">
  <tableColumns count="33">
    <tableColumn id="1" name="Employee name" totalsRowFunction="custom" dataDxfId="1218" totalsRowDxfId="1217" dataCellStyle="Employee">
      <totalsRowFormula>MonthName&amp;" Total"</totalsRowFormula>
    </tableColumn>
    <tableColumn id="2" name="1" totalsRowFunction="count" dataDxfId="1216" totalsRowDxfId="1215"/>
    <tableColumn id="3" name="2" totalsRowFunction="count" dataDxfId="1214" totalsRowDxfId="1213"/>
    <tableColumn id="4" name="3" totalsRowFunction="count" dataDxfId="1212" totalsRowDxfId="1211"/>
    <tableColumn id="5" name="4" totalsRowFunction="count" dataDxfId="1210" totalsRowDxfId="1209"/>
    <tableColumn id="6" name="5" totalsRowFunction="count" dataDxfId="1208" totalsRowDxfId="1207"/>
    <tableColumn id="7" name="6" totalsRowFunction="count" dataDxfId="1206" totalsRowDxfId="1205"/>
    <tableColumn id="8" name="7" totalsRowFunction="count" dataDxfId="1204" totalsRowDxfId="1203"/>
    <tableColumn id="9" name="8" totalsRowFunction="count" dataDxfId="1202" totalsRowDxfId="1201"/>
    <tableColumn id="10" name="9" totalsRowFunction="count" dataDxfId="1200" totalsRowDxfId="1199"/>
    <tableColumn id="11" name="10" totalsRowFunction="count" dataDxfId="1198" totalsRowDxfId="1197"/>
    <tableColumn id="12" name="11" totalsRowFunction="count" dataDxfId="1196" totalsRowDxfId="1195"/>
    <tableColumn id="13" name="12" totalsRowFunction="count" dataDxfId="1194" totalsRowDxfId="1193"/>
    <tableColumn id="14" name="13" totalsRowFunction="count" dataDxfId="1192" totalsRowDxfId="1191"/>
    <tableColumn id="15" name="14" totalsRowFunction="count" dataDxfId="1190" totalsRowDxfId="1189"/>
    <tableColumn id="16" name="15" totalsRowFunction="count" dataDxfId="1188" totalsRowDxfId="1187"/>
    <tableColumn id="17" name="16" totalsRowFunction="count" dataDxfId="1186" totalsRowDxfId="1185"/>
    <tableColumn id="18" name="17" totalsRowFunction="count" dataDxfId="1184" totalsRowDxfId="1183"/>
    <tableColumn id="19" name="18" totalsRowFunction="count" dataDxfId="1182" totalsRowDxfId="1181"/>
    <tableColumn id="20" name="19" totalsRowFunction="count" dataDxfId="1180" totalsRowDxfId="1179"/>
    <tableColumn id="21" name="20" totalsRowFunction="count" dataDxfId="1178" totalsRowDxfId="1177"/>
    <tableColumn id="22" name="21" totalsRowFunction="count" dataDxfId="1176" totalsRowDxfId="1175"/>
    <tableColumn id="23" name="22" totalsRowFunction="count" dataDxfId="1174" totalsRowDxfId="1173"/>
    <tableColumn id="24" name="23" totalsRowFunction="count" dataDxfId="1172" totalsRowDxfId="1171"/>
    <tableColumn id="25" name="24" totalsRowFunction="count" dataDxfId="1170" totalsRowDxfId="1169"/>
    <tableColumn id="26" name="25" totalsRowFunction="count" dataDxfId="1168" totalsRowDxfId="1167"/>
    <tableColumn id="27" name="26" totalsRowFunction="count" dataDxfId="1166" totalsRowDxfId="1165"/>
    <tableColumn id="28" name="27" totalsRowFunction="count" dataDxfId="1164" totalsRowDxfId="1163"/>
    <tableColumn id="29" name="28" totalsRowFunction="count" dataDxfId="1162" totalsRowDxfId="1161"/>
    <tableColumn id="30" name="29" totalsRowFunction="count" dataDxfId="1160" totalsRowDxfId="1159"/>
    <tableColumn id="31" name="30" totalsRowFunction="sum" dataDxfId="1158" totalsRowDxfId="1157"/>
    <tableColumn id="32" name="31" totalsRowFunction="sum" dataDxfId="1156" totalsRowDxfId="1155" dataCellStyle="Total"/>
    <tableColumn id="33" name="Total days" totalsRowFunction="sum" dataDxfId="1154" totalsRowDxfId="1153" dataCellStyle="Total">
      <calculatedColumnFormula>COUNTA(December[[#This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s a list of names and calendar dates to record employees' absenteeism and specific absence type, such as V=Vacation, S=Sick, P=Personal and two placeholders for custom entries"/>
    </ext>
  </extLst>
</table>
</file>

<file path=xl/tables/table13.xml><?xml version="1.0" encoding="utf-8"?>
<table xmlns="http://schemas.openxmlformats.org/spreadsheetml/2006/main" id="1" name="November2" displayName="November2" ref="C8:AI29" totalsRowCount="1" headerRowDxfId="1152" dataDxfId="1151" totalsRowDxfId="1150">
  <tableColumns count="33">
    <tableColumn id="1" name="Employee name" totalsRowFunction="custom" dataDxfId="1149" totalsRowDxfId="1104" dataCellStyle="Employee">
      <totalsRowFormula>MonthName&amp;" Total"</totalsRowFormula>
    </tableColumn>
    <tableColumn id="2" name="26" totalsRowFunction="count" dataDxfId="1148" totalsRowDxfId="1103"/>
    <tableColumn id="3" name="27" totalsRowFunction="count" dataDxfId="1147" totalsRowDxfId="1102"/>
    <tableColumn id="4" name="28" totalsRowFunction="count" dataDxfId="1146" totalsRowDxfId="1101"/>
    <tableColumn id="5" name="29" totalsRowFunction="count" dataDxfId="1145" totalsRowDxfId="1100"/>
    <tableColumn id="6" name="30" totalsRowFunction="count" dataDxfId="1144" totalsRowDxfId="1099"/>
    <tableColumn id="7" name="31" totalsRowFunction="count" dataDxfId="1143" totalsRowDxfId="1098"/>
    <tableColumn id="8" name="1" totalsRowFunction="count" dataDxfId="1142" totalsRowDxfId="1097"/>
    <tableColumn id="9" name="2" totalsRowFunction="count" dataDxfId="1141" totalsRowDxfId="1096"/>
    <tableColumn id="10" name="3" totalsRowFunction="count" dataDxfId="1140" totalsRowDxfId="1095"/>
    <tableColumn id="11" name="4" totalsRowFunction="count" dataDxfId="1139" totalsRowDxfId="1094"/>
    <tableColumn id="12" name="5" totalsRowFunction="count" dataDxfId="1138" totalsRowDxfId="1093"/>
    <tableColumn id="13" name="6" totalsRowFunction="count" dataDxfId="1137" totalsRowDxfId="1092"/>
    <tableColumn id="14" name="7" totalsRowFunction="count" dataDxfId="1136" totalsRowDxfId="1091"/>
    <tableColumn id="15" name="8" totalsRowFunction="count" dataDxfId="1135" totalsRowDxfId="1090"/>
    <tableColumn id="16" name="9" totalsRowFunction="count" dataDxfId="1134" totalsRowDxfId="1089"/>
    <tableColumn id="17" name="10" totalsRowFunction="count" dataDxfId="1133" totalsRowDxfId="1088"/>
    <tableColumn id="18" name="11" totalsRowFunction="count" dataDxfId="1132" totalsRowDxfId="1087"/>
    <tableColumn id="19" name="12" totalsRowFunction="count" dataDxfId="1131" totalsRowDxfId="1086"/>
    <tableColumn id="20" name="13" totalsRowFunction="count" dataDxfId="1130" totalsRowDxfId="1085"/>
    <tableColumn id="21" name="14" totalsRowFunction="count" dataDxfId="1129" totalsRowDxfId="1084"/>
    <tableColumn id="22" name="15" totalsRowFunction="count" dataDxfId="1128" totalsRowDxfId="1083"/>
    <tableColumn id="23" name="16" totalsRowFunction="count" dataDxfId="1127" totalsRowDxfId="1082"/>
    <tableColumn id="24" name="17" totalsRowFunction="count" dataDxfId="1126" totalsRowDxfId="1081"/>
    <tableColumn id="25" name="18" totalsRowFunction="count" dataDxfId="1125" totalsRowDxfId="1080"/>
    <tableColumn id="26" name="19" totalsRowFunction="count" dataDxfId="1124" totalsRowDxfId="1079"/>
    <tableColumn id="27" name="20" totalsRowFunction="count" dataDxfId="1108" totalsRowDxfId="1078"/>
    <tableColumn id="28" name="21" totalsRowFunction="count" dataDxfId="1107" totalsRowDxfId="1077"/>
    <tableColumn id="29" name="22" totalsRowFunction="count" dataDxfId="1106" totalsRowDxfId="1076"/>
    <tableColumn id="30" name="23" totalsRowFunction="count" dataDxfId="1105" totalsRowDxfId="1075"/>
    <tableColumn id="31" name="24" totalsRowFunction="sum" dataDxfId="1123" totalsRowDxfId="1074"/>
    <tableColumn id="32" name="25" totalsRowFunction="sum" dataDxfId="1122" totalsRowDxfId="1073" dataCellStyle="Total"/>
    <tableColumn id="33" name="Total days" totalsRowFunction="sum" dataDxfId="1121" totalsRowDxfId="1072" dataCellStyle="Total">
      <calculatedColumnFormula>COUNTA(November2[[#This Row],[26]:[25]])</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4.xml><?xml version="1.0" encoding="utf-8"?>
<table xmlns="http://schemas.openxmlformats.org/spreadsheetml/2006/main" id="13" name="EmployeeName" displayName="EmployeeName" ref="C4:D24" totalsRowCount="1" headerRowDxfId="1120" dataDxfId="1119" dataCellStyle="Employee">
  <autoFilter ref="C4:D23"/>
  <tableColumns count="2">
    <tableColumn id="1" name="Employee Names" dataDxfId="1118" totalsRowDxfId="1117" dataCellStyle="Employee"/>
    <tableColumn id="2" name="Column1" totalsRowFunction="custom" dataDxfId="1116" totalsRowDxfId="1115" dataCellStyle="Employee">
      <calculatedColumnFormula>SUM(E5:K5)</calculatedColumnFormula>
      <totalsRowFormula>SUM(EmployeeName[Column1])</totalsRowFormula>
    </tableColumn>
  </tableColumns>
  <tableStyleInfo name="Employee Absence Table" showFirstColumn="1" showLastColumn="1" showRowStripes="1" showColumnStripes="0"/>
  <extLst>
    <ext xmlns:x14="http://schemas.microsoft.com/office/spreadsheetml/2009/9/main" uri="{504A1905-F514-4f6f-8877-14C23A59335A}">
      <x14:table altTextSummary="Enter employee names in this table. These names are used as options in each month's absence schedule columm B"/>
    </ext>
  </extLst>
</table>
</file>

<file path=xl/tables/table15.xml><?xml version="1.0" encoding="utf-8"?>
<table xmlns="http://schemas.openxmlformats.org/spreadsheetml/2006/main" id="5" name="EmployeeName6" displayName="EmployeeName6" ref="C4:D24" totalsRowCount="1" headerRowDxfId="1114" dataDxfId="1113" dataCellStyle="Employee">
  <autoFilter ref="C4:D23"/>
  <tableColumns count="2">
    <tableColumn id="1" name="Employee Names" dataDxfId="1112" totalsRowDxfId="1111" dataCellStyle="Employee"/>
    <tableColumn id="2" name="Column1" totalsRowFunction="custom" dataDxfId="1110" totalsRowDxfId="1109" dataCellStyle="Employee">
      <calculatedColumnFormula>SUM(E5:K5)</calculatedColumnFormula>
      <totalsRowFormula>SUM(EmployeeName6[Column1])</totalsRowFormula>
    </tableColumn>
  </tableColumns>
  <tableStyleInfo name="Employee Absence Table" showFirstColumn="1" showLastColumn="1" showRowStripes="1" showColumnStripes="0"/>
  <extLst>
    <ext xmlns:x14="http://schemas.microsoft.com/office/spreadsheetml/2009/9/main" uri="{504A1905-F514-4f6f-8877-14C23A59335A}">
      <x14:table altTextSummary="Enter employee names in this table. These names are used as options in each month's absence schedule columm B"/>
    </ext>
  </extLst>
</table>
</file>

<file path=xl/theme/theme1.xml><?xml version="1.0" encoding="utf-8"?>
<a:theme xmlns:a="http://schemas.openxmlformats.org/drawingml/2006/main" name="Office Theme">
  <a:themeElements>
    <a:clrScheme name="TM03987167">
      <a:dk1>
        <a:srgbClr val="000000"/>
      </a:dk1>
      <a:lt1>
        <a:srgbClr val="FFFFFF"/>
      </a:lt1>
      <a:dk2>
        <a:srgbClr val="44546A"/>
      </a:dk2>
      <a:lt2>
        <a:srgbClr val="E7E6E6"/>
      </a:lt2>
      <a:accent1>
        <a:srgbClr val="1F452F"/>
      </a:accent1>
      <a:accent2>
        <a:srgbClr val="709A97"/>
      </a:accent2>
      <a:accent3>
        <a:srgbClr val="1B417C"/>
      </a:accent3>
      <a:accent4>
        <a:srgbClr val="D8A141"/>
      </a:accent4>
      <a:accent5>
        <a:srgbClr val="CAAFF3"/>
      </a:accent5>
      <a:accent6>
        <a:srgbClr val="EF5C37"/>
      </a:accent6>
      <a:hlink>
        <a:srgbClr val="0563C1"/>
      </a:hlink>
      <a:folHlink>
        <a:srgbClr val="954F72"/>
      </a:folHlink>
    </a:clrScheme>
    <a:fontScheme name="Employee Absence Schedule">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pageSetUpPr fitToPage="1"/>
  </sheetPr>
  <dimension ref="A1:AH14"/>
  <sheetViews>
    <sheetView showGridLines="0" topLeftCell="A4" zoomScaleNormal="100" workbookViewId="0"/>
  </sheetViews>
  <sheetFormatPr defaultColWidth="8.77734375" defaultRowHeight="30" customHeight="1"/>
  <cols>
    <col min="1" max="1" width="2.6640625" customWidth="1"/>
    <col min="2" max="2" width="25.6640625" customWidth="1"/>
    <col min="3" max="33" width="4.6640625" customWidth="1"/>
    <col min="34" max="34" width="13.44140625" customWidth="1"/>
    <col min="35" max="35" width="2.6640625" customWidth="1"/>
  </cols>
  <sheetData>
    <row r="1" spans="1:34" s="13" customFormat="1" ht="49.95" customHeight="1">
      <c r="A1" s="12"/>
      <c r="B1" s="24" t="s">
        <v>53</v>
      </c>
    </row>
    <row r="2" spans="1:34" s="13" customFormat="1" ht="100.05" customHeight="1">
      <c r="A2"/>
      <c r="B2" s="23" t="s">
        <v>36</v>
      </c>
    </row>
    <row r="3" spans="1:34" s="13" customFormat="1" ht="15" customHeight="1">
      <c r="A3"/>
      <c r="B3" s="9"/>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row>
    <row r="4" spans="1:34" ht="30" customHeight="1">
      <c r="B4" s="7" t="s">
        <v>54</v>
      </c>
      <c r="C4" s="28" t="s">
        <v>32</v>
      </c>
      <c r="D4" s="284" t="s">
        <v>37</v>
      </c>
      <c r="E4" s="284"/>
      <c r="F4" s="284"/>
      <c r="G4" s="26" t="s">
        <v>35</v>
      </c>
      <c r="H4" s="284" t="s">
        <v>38</v>
      </c>
      <c r="I4" s="284"/>
      <c r="J4" s="284"/>
      <c r="K4" s="27" t="s">
        <v>31</v>
      </c>
      <c r="L4" s="284" t="s">
        <v>39</v>
      </c>
      <c r="M4" s="284"/>
      <c r="N4" s="17"/>
      <c r="O4" s="284" t="s">
        <v>40</v>
      </c>
      <c r="P4" s="284"/>
      <c r="Q4" s="284"/>
      <c r="R4" s="18"/>
      <c r="S4" s="284" t="s">
        <v>41</v>
      </c>
      <c r="T4" s="284"/>
      <c r="U4" s="284"/>
    </row>
    <row r="5" spans="1:34" ht="15" customHeight="1">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6"/>
    </row>
    <row r="6" spans="1:34" ht="49.95" customHeight="1">
      <c r="B6" s="6"/>
      <c r="C6" s="283" t="s">
        <v>55</v>
      </c>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6">
        <f ca="1">YEAR(TODAY())</f>
        <v>2026</v>
      </c>
    </row>
    <row r="7" spans="1:34" ht="30" customHeight="1">
      <c r="B7" s="6"/>
      <c r="C7" s="21" t="str">
        <f ca="1">TEXT(WEEKDAY(DATE(CalendarYear,1,1),1),"aaa")</f>
        <v>Thu</v>
      </c>
      <c r="D7" s="21" t="str">
        <f ca="1">TEXT(WEEKDAY(DATE(CalendarYear,1,2),1),"aaa")</f>
        <v>Fri</v>
      </c>
      <c r="E7" s="21" t="str">
        <f ca="1">TEXT(WEEKDAY(DATE(CalendarYear,1,3),1),"aaa")</f>
        <v>Sat</v>
      </c>
      <c r="F7" s="21" t="str">
        <f ca="1">TEXT(WEEKDAY(DATE(CalendarYear,1,4),1),"aaa")</f>
        <v>Sun</v>
      </c>
      <c r="G7" s="21" t="str">
        <f ca="1">TEXT(WEEKDAY(DATE(CalendarYear,1,5),1),"aaa")</f>
        <v>Mon</v>
      </c>
      <c r="H7" s="21" t="str">
        <f ca="1">TEXT(WEEKDAY(DATE(CalendarYear,1,6),1),"aaa")</f>
        <v>Tue</v>
      </c>
      <c r="I7" s="21" t="str">
        <f ca="1">TEXT(WEEKDAY(DATE(CalendarYear,1,7),1),"aaa")</f>
        <v>Wed</v>
      </c>
      <c r="J7" s="21" t="str">
        <f ca="1">TEXT(WEEKDAY(DATE(CalendarYear,1,8),1),"aaa")</f>
        <v>Thu</v>
      </c>
      <c r="K7" s="21" t="str">
        <f ca="1">TEXT(WEEKDAY(DATE(CalendarYear,1,9),1),"aaa")</f>
        <v>Fri</v>
      </c>
      <c r="L7" s="21" t="str">
        <f ca="1">TEXT(WEEKDAY(DATE(CalendarYear,1,10),1),"aaa")</f>
        <v>Sat</v>
      </c>
      <c r="M7" s="21" t="str">
        <f ca="1">TEXT(WEEKDAY(DATE(CalendarYear,1,11),1),"aaa")</f>
        <v>Sun</v>
      </c>
      <c r="N7" s="21" t="str">
        <f ca="1">TEXT(WEEKDAY(DATE(CalendarYear,1,12),1),"aaa")</f>
        <v>Mon</v>
      </c>
      <c r="O7" s="21" t="str">
        <f ca="1">TEXT(WEEKDAY(DATE(CalendarYear,1,13),1),"aaa")</f>
        <v>Tue</v>
      </c>
      <c r="P7" s="21" t="str">
        <f ca="1">TEXT(WEEKDAY(DATE(CalendarYear,1,14),1),"aaa")</f>
        <v>Wed</v>
      </c>
      <c r="Q7" s="21" t="str">
        <f ca="1">TEXT(WEEKDAY(DATE(CalendarYear,1,15),1),"aaa")</f>
        <v>Thu</v>
      </c>
      <c r="R7" s="21" t="str">
        <f ca="1">TEXT(WEEKDAY(DATE(CalendarYear,1,16),1),"aaa")</f>
        <v>Fri</v>
      </c>
      <c r="S7" s="21" t="str">
        <f ca="1">TEXT(WEEKDAY(DATE(CalendarYear,1,17),1),"aaa")</f>
        <v>Sat</v>
      </c>
      <c r="T7" s="21" t="str">
        <f ca="1">TEXT(WEEKDAY(DATE(CalendarYear,1,18),1),"aaa")</f>
        <v>Sun</v>
      </c>
      <c r="U7" s="21" t="str">
        <f ca="1">TEXT(WEEKDAY(DATE(CalendarYear,1,19),1),"aaa")</f>
        <v>Mon</v>
      </c>
      <c r="V7" s="21" t="str">
        <f ca="1">TEXT(WEEKDAY(DATE(CalendarYear,1,20),1),"aaa")</f>
        <v>Tue</v>
      </c>
      <c r="W7" s="21" t="str">
        <f ca="1">TEXT(WEEKDAY(DATE(CalendarYear,1,21),1),"aaa")</f>
        <v>Wed</v>
      </c>
      <c r="X7" s="21" t="str">
        <f ca="1">TEXT(WEEKDAY(DATE(CalendarYear,1,22),1),"aaa")</f>
        <v>Thu</v>
      </c>
      <c r="Y7" s="21" t="str">
        <f ca="1">TEXT(WEEKDAY(DATE(CalendarYear,1,23),1),"aaa")</f>
        <v>Fri</v>
      </c>
      <c r="Z7" s="21" t="str">
        <f ca="1">TEXT(WEEKDAY(DATE(CalendarYear,1,24),1),"aaa")</f>
        <v>Sat</v>
      </c>
      <c r="AA7" s="21" t="str">
        <f ca="1">TEXT(WEEKDAY(DATE(CalendarYear,1,25),1),"aaa")</f>
        <v>Sun</v>
      </c>
      <c r="AB7" s="21" t="str">
        <f ca="1">TEXT(WEEKDAY(DATE(CalendarYear,1,26),1),"aaa")</f>
        <v>Mon</v>
      </c>
      <c r="AC7" s="21" t="str">
        <f ca="1">TEXT(WEEKDAY(DATE(CalendarYear,1,27),1),"aaa")</f>
        <v>Tue</v>
      </c>
      <c r="AD7" s="21" t="str">
        <f ca="1">TEXT(WEEKDAY(DATE(CalendarYear,1,28),1),"aaa")</f>
        <v>Wed</v>
      </c>
      <c r="AE7" s="21" t="str">
        <f ca="1">TEXT(WEEKDAY(DATE(CalendarYear,1,29),1),"aaa")</f>
        <v>Thu</v>
      </c>
      <c r="AF7" s="21" t="str">
        <f ca="1">TEXT(WEEKDAY(DATE(CalendarYear,1,30),1),"aaa")</f>
        <v>Fri</v>
      </c>
      <c r="AG7" s="21" t="str">
        <f ca="1">TEXT(WEEKDAY(DATE(CalendarYear,1,31),1),"aaa")</f>
        <v>Sat</v>
      </c>
      <c r="AH7" s="6"/>
    </row>
    <row r="8" spans="1:34" ht="30" customHeight="1">
      <c r="B8" s="20" t="s">
        <v>61</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30</v>
      </c>
      <c r="AH8" s="22" t="s">
        <v>62</v>
      </c>
    </row>
    <row r="9" spans="1:34" ht="30" customHeight="1">
      <c r="B9" s="2" t="s">
        <v>56</v>
      </c>
      <c r="C9" s="1"/>
      <c r="D9" s="1"/>
      <c r="E9" s="19" t="s">
        <v>32</v>
      </c>
      <c r="F9" s="19" t="s">
        <v>32</v>
      </c>
      <c r="G9" s="19" t="s">
        <v>32</v>
      </c>
      <c r="H9" s="19" t="s">
        <v>32</v>
      </c>
      <c r="I9" s="1"/>
      <c r="J9" s="1"/>
      <c r="K9" s="1"/>
      <c r="L9" s="1"/>
      <c r="M9" s="1"/>
      <c r="N9" s="1"/>
      <c r="O9" s="1" t="s">
        <v>32</v>
      </c>
      <c r="P9" s="1"/>
      <c r="Q9" s="1"/>
      <c r="R9" s="1"/>
      <c r="S9" s="1"/>
      <c r="T9" s="1"/>
      <c r="U9" s="1"/>
      <c r="V9" s="1"/>
      <c r="W9" s="1"/>
      <c r="X9" s="1"/>
      <c r="Y9" s="1"/>
      <c r="Z9" s="1"/>
      <c r="AA9" s="1"/>
      <c r="AB9" s="1"/>
      <c r="AC9" s="1"/>
      <c r="AD9" s="1"/>
      <c r="AE9" s="1"/>
      <c r="AF9" s="1"/>
      <c r="AG9" s="1"/>
      <c r="AH9" s="3">
        <f>COUNTA(January!$C9:$AG9)</f>
        <v>5</v>
      </c>
    </row>
    <row r="10" spans="1:34" ht="30" customHeight="1">
      <c r="B10" s="2" t="s">
        <v>57</v>
      </c>
      <c r="C10" s="1"/>
      <c r="D10" s="1"/>
      <c r="E10" s="1"/>
      <c r="F10" s="1"/>
      <c r="G10" s="1" t="s">
        <v>31</v>
      </c>
      <c r="H10" s="1" t="s">
        <v>31</v>
      </c>
      <c r="I10" s="1"/>
      <c r="J10" s="1"/>
      <c r="K10" s="1"/>
      <c r="L10" s="1"/>
      <c r="M10" s="1" t="s">
        <v>35</v>
      </c>
      <c r="N10" s="1"/>
      <c r="O10" s="1"/>
      <c r="P10" s="1"/>
      <c r="Q10" s="1"/>
      <c r="R10" s="1"/>
      <c r="S10" s="1"/>
      <c r="T10" s="1"/>
      <c r="U10" s="1"/>
      <c r="V10" s="1" t="s">
        <v>31</v>
      </c>
      <c r="W10" s="1"/>
      <c r="X10" s="1"/>
      <c r="Y10" s="1"/>
      <c r="Z10" s="1"/>
      <c r="AA10" s="1" t="s">
        <v>32</v>
      </c>
      <c r="AB10" s="1" t="s">
        <v>32</v>
      </c>
      <c r="AC10" s="1" t="s">
        <v>32</v>
      </c>
      <c r="AD10" s="1"/>
      <c r="AE10" s="1"/>
      <c r="AF10" s="1"/>
      <c r="AG10" s="1"/>
      <c r="AH10" s="3">
        <f>COUNTA(January!$C10:$AG10)</f>
        <v>7</v>
      </c>
    </row>
    <row r="11" spans="1:34" ht="30" customHeight="1">
      <c r="B11" s="2" t="s">
        <v>58</v>
      </c>
      <c r="C11" s="1"/>
      <c r="D11" s="1"/>
      <c r="E11" s="1" t="s">
        <v>35</v>
      </c>
      <c r="F11" s="1"/>
      <c r="G11" s="1"/>
      <c r="H11" s="1"/>
      <c r="I11" s="1"/>
      <c r="J11" s="1"/>
      <c r="K11" s="1"/>
      <c r="L11" s="1"/>
      <c r="M11" s="1"/>
      <c r="N11" s="1"/>
      <c r="O11" s="1"/>
      <c r="P11" s="1" t="s">
        <v>31</v>
      </c>
      <c r="Q11" s="1"/>
      <c r="R11" s="1"/>
      <c r="S11" s="1"/>
      <c r="T11" s="1"/>
      <c r="U11" s="1"/>
      <c r="V11" s="1"/>
      <c r="W11" s="1"/>
      <c r="X11" s="1"/>
      <c r="Y11" s="1"/>
      <c r="Z11" s="1"/>
      <c r="AA11" s="1"/>
      <c r="AB11" s="1"/>
      <c r="AC11" s="1"/>
      <c r="AD11" s="1"/>
      <c r="AE11" s="1" t="s">
        <v>31</v>
      </c>
      <c r="AF11" s="1"/>
      <c r="AG11" s="1"/>
      <c r="AH11" s="3">
        <f>COUNTA(January!$C11:$AG11)</f>
        <v>3</v>
      </c>
    </row>
    <row r="12" spans="1:34" ht="30" customHeight="1">
      <c r="B12" s="2" t="s">
        <v>59</v>
      </c>
      <c r="C12" s="1"/>
      <c r="D12" s="1"/>
      <c r="E12" s="1"/>
      <c r="F12" s="1"/>
      <c r="G12" s="1"/>
      <c r="H12" s="1"/>
      <c r="I12" s="1" t="s">
        <v>35</v>
      </c>
      <c r="J12" s="1"/>
      <c r="K12" s="1"/>
      <c r="L12" s="1"/>
      <c r="M12" s="1"/>
      <c r="N12" s="1"/>
      <c r="O12" s="1"/>
      <c r="P12" s="1"/>
      <c r="Q12" s="1"/>
      <c r="R12" s="1"/>
      <c r="S12" s="1"/>
      <c r="T12" s="1"/>
      <c r="U12" s="1" t="s">
        <v>32</v>
      </c>
      <c r="V12" s="1" t="s">
        <v>32</v>
      </c>
      <c r="W12" s="1" t="s">
        <v>32</v>
      </c>
      <c r="X12" s="1"/>
      <c r="Y12" s="1"/>
      <c r="Z12" s="1"/>
      <c r="AA12" s="1"/>
      <c r="AB12" s="1"/>
      <c r="AC12" s="1"/>
      <c r="AD12" s="1"/>
      <c r="AE12" s="1"/>
      <c r="AF12" s="1"/>
      <c r="AG12" s="1"/>
      <c r="AH12" s="3">
        <f>COUNTA(January!$C12:$AG12)</f>
        <v>4</v>
      </c>
    </row>
    <row r="13" spans="1:34" ht="30" customHeight="1">
      <c r="B13" s="2" t="s">
        <v>60</v>
      </c>
      <c r="C13" s="1"/>
      <c r="D13" s="1"/>
      <c r="E13" s="1"/>
      <c r="F13" s="1" t="s">
        <v>31</v>
      </c>
      <c r="G13" s="1" t="s">
        <v>32</v>
      </c>
      <c r="H13" s="1" t="s">
        <v>32</v>
      </c>
      <c r="I13" s="1"/>
      <c r="J13" s="1"/>
      <c r="K13" s="1"/>
      <c r="L13" s="1"/>
      <c r="M13" s="1"/>
      <c r="N13" s="1"/>
      <c r="O13" s="1"/>
      <c r="P13" s="1"/>
      <c r="Q13" s="1"/>
      <c r="R13" s="1"/>
      <c r="S13" s="1" t="s">
        <v>31</v>
      </c>
      <c r="T13" s="1"/>
      <c r="U13" s="1"/>
      <c r="V13" s="1"/>
      <c r="W13" s="1"/>
      <c r="X13" s="1"/>
      <c r="Y13" s="1"/>
      <c r="Z13" s="1" t="s">
        <v>31</v>
      </c>
      <c r="AA13" s="1"/>
      <c r="AB13" s="1"/>
      <c r="AC13" s="1"/>
      <c r="AD13" s="1"/>
      <c r="AE13" s="1"/>
      <c r="AF13" s="1"/>
      <c r="AG13" s="1" t="s">
        <v>32</v>
      </c>
      <c r="AH13" s="3">
        <f>COUNTA(January!$C13:$AG13)</f>
        <v>6</v>
      </c>
    </row>
    <row r="14" spans="1:34" ht="30" customHeight="1">
      <c r="B14" s="5" t="str">
        <f>MonthName&amp;" total"</f>
        <v>January total</v>
      </c>
      <c r="C14" s="4">
        <f>SUBTOTAL(103,January!$C$9:$C$13)</f>
        <v>0</v>
      </c>
      <c r="D14" s="4">
        <f>SUBTOTAL(103,January!$D$9:$D$13)</f>
        <v>0</v>
      </c>
      <c r="E14" s="4">
        <f>SUBTOTAL(103,January!$E$9:$E$13)</f>
        <v>2</v>
      </c>
      <c r="F14" s="4">
        <f>SUBTOTAL(103,January!$F$9:$F$13)</f>
        <v>2</v>
      </c>
      <c r="G14" s="4">
        <f>SUBTOTAL(103,January!$G$9:$G$13)</f>
        <v>3</v>
      </c>
      <c r="H14" s="4">
        <f>SUBTOTAL(103,January!$H$9:$H$13)</f>
        <v>3</v>
      </c>
      <c r="I14" s="4">
        <f>SUBTOTAL(103,January!$I$9:$I$13)</f>
        <v>1</v>
      </c>
      <c r="J14" s="4">
        <f>SUBTOTAL(103,January!$J$9:$J$13)</f>
        <v>0</v>
      </c>
      <c r="K14" s="4">
        <f>SUBTOTAL(103,January!$K$9:$K$13)</f>
        <v>0</v>
      </c>
      <c r="L14" s="4">
        <f>SUBTOTAL(103,January!$L$9:$L$13)</f>
        <v>0</v>
      </c>
      <c r="M14" s="4">
        <f>SUBTOTAL(103,January!$M$9:$M$13)</f>
        <v>1</v>
      </c>
      <c r="N14" s="4">
        <f>SUBTOTAL(103,January!$N$9:$N$13)</f>
        <v>0</v>
      </c>
      <c r="O14" s="4">
        <f>SUBTOTAL(103,January!$O$9:$O$13)</f>
        <v>1</v>
      </c>
      <c r="P14" s="4">
        <f>SUBTOTAL(103,January!$P$9:$P$13)</f>
        <v>1</v>
      </c>
      <c r="Q14" s="4">
        <f>SUBTOTAL(103,January!$Q$9:$Q$13)</f>
        <v>0</v>
      </c>
      <c r="R14" s="4">
        <f>SUBTOTAL(103,January!$R$9:$R$13)</f>
        <v>0</v>
      </c>
      <c r="S14" s="4">
        <f>SUBTOTAL(103,January!$S$9:$S$13)</f>
        <v>1</v>
      </c>
      <c r="T14" s="4">
        <f>SUBTOTAL(103,January!$T$9:$T$13)</f>
        <v>0</v>
      </c>
      <c r="U14" s="4">
        <f>SUBTOTAL(103,January!$U$9:$U$13)</f>
        <v>1</v>
      </c>
      <c r="V14" s="4">
        <f>SUBTOTAL(103,January!$V$9:$V$13)</f>
        <v>2</v>
      </c>
      <c r="W14" s="4">
        <f>SUBTOTAL(103,January!$W$9:$W$13)</f>
        <v>1</v>
      </c>
      <c r="X14" s="4">
        <f>SUBTOTAL(103,January!$X$9:$X$13)</f>
        <v>0</v>
      </c>
      <c r="Y14" s="4">
        <f>SUBTOTAL(103,January!$Y$9:$Y$13)</f>
        <v>0</v>
      </c>
      <c r="Z14" s="4">
        <f>SUBTOTAL(103,January!$Z$9:$Z$13)</f>
        <v>1</v>
      </c>
      <c r="AA14" s="4">
        <f>SUBTOTAL(103,January!$AA$9:$AA$13)</f>
        <v>1</v>
      </c>
      <c r="AB14" s="4">
        <f>SUBTOTAL(103,January!$AB$9:$AB$13)</f>
        <v>1</v>
      </c>
      <c r="AC14" s="4">
        <f>SUBTOTAL(103,January!$AC$9:$AC$13)</f>
        <v>1</v>
      </c>
      <c r="AD14" s="4">
        <f>SUBTOTAL(103,January!$AD$9:$AD$13)</f>
        <v>0</v>
      </c>
      <c r="AE14" s="4">
        <f>SUBTOTAL(103,January!$AE$9:$AE$13)</f>
        <v>1</v>
      </c>
      <c r="AF14" s="4">
        <f>SUBTOTAL(103,January!$AF$9:$AF$13)</f>
        <v>0</v>
      </c>
      <c r="AG14" s="4">
        <f>SUBTOTAL(103,January!$AG$9:$AG$13)</f>
        <v>1</v>
      </c>
      <c r="AH14" s="4">
        <f>SUBTOTAL(109,January[Total days])</f>
        <v>25</v>
      </c>
    </row>
  </sheetData>
  <mergeCells count="6">
    <mergeCell ref="C6:AG6"/>
    <mergeCell ref="D4:F4"/>
    <mergeCell ref="H4:J4"/>
    <mergeCell ref="L4:M4"/>
    <mergeCell ref="O4:Q4"/>
    <mergeCell ref="S4:U4"/>
  </mergeCells>
  <conditionalFormatting sqref="C9:AG13">
    <cfRule type="expression" priority="3" stopIfTrue="1">
      <formula>C9=""</formula>
    </cfRule>
    <cfRule type="expression" dxfId="1071" priority="8" stopIfTrue="1">
      <formula>C9=KeyCustom2</formula>
    </cfRule>
    <cfRule type="expression" dxfId="1070" priority="9" stopIfTrue="1">
      <formula>C9=KeyCustom1</formula>
    </cfRule>
    <cfRule type="expression" dxfId="1069" priority="10" stopIfTrue="1">
      <formula>C9=KeySick</formula>
    </cfRule>
    <cfRule type="expression" dxfId="1068" priority="11" stopIfTrue="1">
      <formula>C9=KeyPersonal</formula>
    </cfRule>
    <cfRule type="expression" dxfId="1067" priority="12" stopIfTrue="1">
      <formula>C9=KeyVacation</formula>
    </cfRule>
  </conditionalFormatting>
  <conditionalFormatting sqref="AH9:AH13">
    <cfRule type="dataBar" priority="170">
      <dataBar>
        <cfvo type="num" val="0"/>
        <cfvo type="num" val="31"/>
        <color theme="4"/>
      </dataBar>
      <extLst>
        <ext xmlns:x14="http://schemas.microsoft.com/office/spreadsheetml/2009/9/main" uri="{B025F937-C7B1-47D3-B67F-A62EFF666E3E}">
          <x14:id>{ECCE2C3C-1B01-4700-B60E-DAAAB19A9C1A}</x14:id>
        </ext>
      </extLst>
    </cfRule>
  </conditionalFormatting>
  <dataValidations count="16">
    <dataValidation allowBlank="1" showInputMessage="1" showErrorMessage="1" prompt="Days of the month in this row are automatically generated. Enter an employee's absence and absence type in each column for each day of the month. Blank means no absence" sqref="C8"/>
    <dataValidation allowBlank="1" showInputMessage="1" showErrorMessage="1" prompt="The letter &quot;V&quot; indicates absence due to vacation" sqref="C4"/>
    <dataValidation allowBlank="1" showInputMessage="1" showErrorMessage="1" prompt="The letter &quot;P&quot; indicates absence due to personal reasons" sqref="G4"/>
    <dataValidation allowBlank="1" showInputMessage="1" showErrorMessage="1" prompt="The letter &quot;S&quot; indicates absence due to illness" sqref="K4"/>
    <dataValidation allowBlank="1" showInputMessage="1" showErrorMessage="1" prompt="Enter a letter and customize the label at right to add another key item" sqref="N4 R4"/>
    <dataValidation allowBlank="1" showInputMessage="1" showErrorMessage="1" prompt="Enter a label to describe the custom key at left" sqref="O4:Q4 S4:U4"/>
    <dataValidation allowBlank="1" showInputMessage="1" showErrorMessage="1" prompt="Employee Absence Schedule tracks employee absence by days for each month. There are 13 worksheets, 12 monthly &amp; last one for employee names. Track January absence in this worksheet" sqref="A1"/>
    <dataValidation allowBlank="1" showInputMessage="1" showErrorMessage="1" prompt="Enter year in the cell below" sqref="AH5"/>
    <dataValidation allowBlank="1" showInputMessage="1" showErrorMessage="1" prompt="Month name for this absence schedule is in this cell. Absence totals for this month are in last cell of the table. Select employee names in table column B" sqref="B2"/>
    <dataValidation allowBlank="1" showInputMessage="1" showErrorMessage="1" prompt="Automatically updated title is in this cell. To modify the title, update B1 on January worksheet" sqref="B2"/>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dataValidation allowBlank="1" showInputMessage="1" showErrorMessage="1" prompt="Automatically calculates total number of days an employee was absent this month in this column" sqref="AH8"/>
    <dataValidation allowBlank="1" showInputMessage="1" showErrorMessage="1" prompt="Enter year in this cell" sqref="AH6"/>
    <dataValidation allowBlank="1" showInputMessage="1" showErrorMessage="1" prompt="Weekdays in this row are automatically updated for the month according to the year in AH4. Each day of the month is a column to note an employee's absence and absence type" sqref="C7"/>
    <dataValidation allowBlank="1" showInputMessage="1" showErrorMessage="1" prompt="This row defines the keys used in the table: cell C4 is Vacation, G4 is Personal, &amp; K4 is Sick leave. Cells N4 &amp; R4 are customizable " sqref="B4"/>
    <dataValidation allowBlank="1" showInputMessage="1" showErrorMessage="1" prompt="Title of the worksheet is in this cell. " sqref="B1"/>
  </dataValidations>
  <printOptions horizontalCentered="1"/>
  <pageMargins left="0.25" right="0.25" top="0.75" bottom="0.75" header="0.3" footer="0.3"/>
  <pageSetup scale="70"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CCE2C3C-1B01-4700-B60E-DAAAB19A9C1A}">
            <x14:dataBar minLength="0" maxLength="100" gradient="0">
              <x14:cfvo type="num">
                <xm:f>0</xm:f>
              </x14:cfvo>
              <x14:cfvo type="num">
                <xm:f>31</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names'!$C$5:$C$23</xm:f>
          </x14:formula1>
          <xm:sqref>B9:B13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pageSetUpPr fitToPage="1"/>
  </sheetPr>
  <dimension ref="A1:AH14"/>
  <sheetViews>
    <sheetView showGridLines="0" zoomScaleNormal="100" workbookViewId="0"/>
  </sheetViews>
  <sheetFormatPr defaultColWidth="9.109375" defaultRowHeight="30" customHeight="1"/>
  <cols>
    <col min="1" max="1" width="2.6640625" customWidth="1"/>
    <col min="2" max="2" width="25.6640625" customWidth="1"/>
    <col min="3" max="33" width="4.6640625" customWidth="1"/>
    <col min="34" max="34" width="13.44140625" customWidth="1"/>
    <col min="35" max="35" width="2.6640625" customWidth="1"/>
  </cols>
  <sheetData>
    <row r="1" spans="1:34" ht="49.95" customHeight="1">
      <c r="B1" s="24" t="s">
        <v>53</v>
      </c>
    </row>
    <row r="2" spans="1:34" s="11" customFormat="1" ht="100.05" customHeight="1">
      <c r="A2"/>
      <c r="B2" s="23" t="s">
        <v>42</v>
      </c>
    </row>
    <row r="3" spans="1:34" ht="15" customHeight="1">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1:34" ht="30" customHeight="1">
      <c r="B4" s="7" t="s">
        <v>54</v>
      </c>
      <c r="C4" s="28" t="s">
        <v>32</v>
      </c>
      <c r="D4" s="284" t="s">
        <v>37</v>
      </c>
      <c r="E4" s="284"/>
      <c r="F4" s="284"/>
      <c r="G4" s="26" t="s">
        <v>35</v>
      </c>
      <c r="H4" s="284" t="s">
        <v>38</v>
      </c>
      <c r="I4" s="284"/>
      <c r="J4" s="284"/>
      <c r="K4" s="27" t="s">
        <v>31</v>
      </c>
      <c r="L4" s="284" t="s">
        <v>39</v>
      </c>
      <c r="M4" s="284"/>
      <c r="N4" s="17"/>
      <c r="O4" s="284" t="s">
        <v>40</v>
      </c>
      <c r="P4" s="284"/>
      <c r="Q4" s="284"/>
      <c r="R4" s="18"/>
      <c r="S4" s="284" t="s">
        <v>41</v>
      </c>
      <c r="T4" s="284"/>
      <c r="U4" s="284"/>
    </row>
    <row r="5" spans="1:34" ht="15" customHeight="1">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1:34" ht="49.95" customHeight="1">
      <c r="B6" s="6"/>
      <c r="C6" s="283" t="s">
        <v>55</v>
      </c>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6">
        <f ca="1">CalendarYear</f>
        <v>2026</v>
      </c>
    </row>
    <row r="7" spans="1:34" ht="30" customHeight="1">
      <c r="B7" s="6"/>
      <c r="C7" s="21" t="str">
        <f ca="1">TEXT(WEEKDAY(DATE(CalendarYear,2,1),1),"aaa")</f>
        <v>Sun</v>
      </c>
      <c r="D7" s="21" t="str">
        <f ca="1">TEXT(WEEKDAY(DATE(CalendarYear,2,2),1),"aaa")</f>
        <v>Mon</v>
      </c>
      <c r="E7" s="21" t="str">
        <f ca="1">TEXT(WEEKDAY(DATE(CalendarYear,2,3),1),"aaa")</f>
        <v>Tue</v>
      </c>
      <c r="F7" s="21" t="str">
        <f ca="1">TEXT(WEEKDAY(DATE(CalendarYear,2,4),1),"aaa")</f>
        <v>Wed</v>
      </c>
      <c r="G7" s="21" t="str">
        <f ca="1">TEXT(WEEKDAY(DATE(CalendarYear,2,5),1),"aaa")</f>
        <v>Thu</v>
      </c>
      <c r="H7" s="21" t="str">
        <f ca="1">TEXT(WEEKDAY(DATE(CalendarYear,2,6),1),"aaa")</f>
        <v>Fri</v>
      </c>
      <c r="I7" s="21" t="str">
        <f ca="1">TEXT(WEEKDAY(DATE(CalendarYear,2,7),1),"aaa")</f>
        <v>Sat</v>
      </c>
      <c r="J7" s="21" t="str">
        <f ca="1">TEXT(WEEKDAY(DATE(CalendarYear,2,8),1),"aaa")</f>
        <v>Sun</v>
      </c>
      <c r="K7" s="21" t="str">
        <f ca="1">TEXT(WEEKDAY(DATE(CalendarYear,2,9),1),"aaa")</f>
        <v>Mon</v>
      </c>
      <c r="L7" s="21" t="str">
        <f ca="1">TEXT(WEEKDAY(DATE(CalendarYear,2,10),1),"aaa")</f>
        <v>Tue</v>
      </c>
      <c r="M7" s="21" t="str">
        <f ca="1">TEXT(WEEKDAY(DATE(CalendarYear,2,11),1),"aaa")</f>
        <v>Wed</v>
      </c>
      <c r="N7" s="21" t="str">
        <f ca="1">TEXT(WEEKDAY(DATE(CalendarYear,2,12),1),"aaa")</f>
        <v>Thu</v>
      </c>
      <c r="O7" s="21" t="str">
        <f ca="1">TEXT(WEEKDAY(DATE(CalendarYear,2,13),1),"aaa")</f>
        <v>Fri</v>
      </c>
      <c r="P7" s="21" t="str">
        <f ca="1">TEXT(WEEKDAY(DATE(CalendarYear,2,14),1),"aaa")</f>
        <v>Sat</v>
      </c>
      <c r="Q7" s="21" t="str">
        <f ca="1">TEXT(WEEKDAY(DATE(CalendarYear,2,15),1),"aaa")</f>
        <v>Sun</v>
      </c>
      <c r="R7" s="21" t="str">
        <f ca="1">TEXT(WEEKDAY(DATE(CalendarYear,2,16),1),"aaa")</f>
        <v>Mon</v>
      </c>
      <c r="S7" s="21" t="str">
        <f ca="1">TEXT(WEEKDAY(DATE(CalendarYear,2,17),1),"aaa")</f>
        <v>Tue</v>
      </c>
      <c r="T7" s="21" t="str">
        <f ca="1">TEXT(WEEKDAY(DATE(CalendarYear,2,18),1),"aaa")</f>
        <v>Wed</v>
      </c>
      <c r="U7" s="21" t="str">
        <f ca="1">TEXT(WEEKDAY(DATE(CalendarYear,2,19),1),"aaa")</f>
        <v>Thu</v>
      </c>
      <c r="V7" s="21" t="str">
        <f ca="1">TEXT(WEEKDAY(DATE(CalendarYear,2,20),1),"aaa")</f>
        <v>Fri</v>
      </c>
      <c r="W7" s="21" t="str">
        <f ca="1">TEXT(WEEKDAY(DATE(CalendarYear,2,21),1),"aaa")</f>
        <v>Sat</v>
      </c>
      <c r="X7" s="21" t="str">
        <f ca="1">TEXT(WEEKDAY(DATE(CalendarYear,2,22),1),"aaa")</f>
        <v>Sun</v>
      </c>
      <c r="Y7" s="21" t="str">
        <f ca="1">TEXT(WEEKDAY(DATE(CalendarYear,2,23),1),"aaa")</f>
        <v>Mon</v>
      </c>
      <c r="Z7" s="21" t="str">
        <f ca="1">TEXT(WEEKDAY(DATE(CalendarYear,2,24),1),"aaa")</f>
        <v>Tue</v>
      </c>
      <c r="AA7" s="21" t="str">
        <f ca="1">TEXT(WEEKDAY(DATE(CalendarYear,2,25),1),"aaa")</f>
        <v>Wed</v>
      </c>
      <c r="AB7" s="21" t="str">
        <f ca="1">TEXT(WEEKDAY(DATE(CalendarYear,2,26),1),"aaa")</f>
        <v>Thu</v>
      </c>
      <c r="AC7" s="21" t="str">
        <f ca="1">TEXT(WEEKDAY(DATE(CalendarYear,2,27),1),"aaa")</f>
        <v>Fri</v>
      </c>
      <c r="AD7" s="21" t="str">
        <f ca="1">TEXT(WEEKDAY(DATE(CalendarYear,2,28),1),"aaa")</f>
        <v>Sat</v>
      </c>
      <c r="AE7" s="21" t="str">
        <f ca="1">TEXT(WEEKDAY(DATE(CalendarYear,2,29),1),"aaa")</f>
        <v>Sun</v>
      </c>
      <c r="AF7" s="21"/>
      <c r="AG7" s="21"/>
      <c r="AH7" s="6"/>
    </row>
    <row r="8" spans="1:34" ht="30" customHeight="1">
      <c r="B8" s="20" t="s">
        <v>61</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33</v>
      </c>
      <c r="AG8" s="1" t="s">
        <v>34</v>
      </c>
      <c r="AH8" s="22" t="s">
        <v>62</v>
      </c>
    </row>
    <row r="9" spans="1:34" ht="30" customHeight="1">
      <c r="B9" s="2" t="s">
        <v>56</v>
      </c>
      <c r="C9" s="19"/>
      <c r="D9" s="19"/>
      <c r="E9" s="19" t="s">
        <v>32</v>
      </c>
      <c r="F9" s="19" t="s">
        <v>32</v>
      </c>
      <c r="G9" s="19" t="s">
        <v>32</v>
      </c>
      <c r="H9" s="19" t="s">
        <v>32</v>
      </c>
      <c r="I9" s="19"/>
      <c r="J9" s="19"/>
      <c r="K9" s="19"/>
      <c r="L9" s="19"/>
      <c r="M9" s="19"/>
      <c r="N9" s="19"/>
      <c r="O9" s="19" t="s">
        <v>32</v>
      </c>
      <c r="P9" s="19"/>
      <c r="Q9" s="19"/>
      <c r="R9" s="19"/>
      <c r="S9" s="19"/>
      <c r="T9" s="19"/>
      <c r="U9" s="19"/>
      <c r="V9" s="19"/>
      <c r="W9" s="19"/>
      <c r="X9" s="19"/>
      <c r="Y9" s="19"/>
      <c r="Z9" s="19"/>
      <c r="AA9" s="19"/>
      <c r="AB9" s="19"/>
      <c r="AC9" s="19"/>
      <c r="AD9" s="19"/>
      <c r="AE9" s="19"/>
      <c r="AF9" s="19"/>
      <c r="AG9" s="19"/>
      <c r="AH9" s="3">
        <f>COUNTA(February[[#This Row],[1]:[29]])</f>
        <v>5</v>
      </c>
    </row>
    <row r="10" spans="1:34" ht="30" customHeight="1">
      <c r="B10" s="2" t="s">
        <v>57</v>
      </c>
      <c r="C10" s="19"/>
      <c r="D10" s="19"/>
      <c r="E10" s="19"/>
      <c r="F10" s="19"/>
      <c r="G10" s="19" t="s">
        <v>31</v>
      </c>
      <c r="H10" s="19" t="s">
        <v>31</v>
      </c>
      <c r="I10" s="19"/>
      <c r="J10" s="19"/>
      <c r="K10" s="19"/>
      <c r="L10" s="19"/>
      <c r="M10" s="19" t="s">
        <v>35</v>
      </c>
      <c r="N10" s="19"/>
      <c r="O10" s="19"/>
      <c r="P10" s="19"/>
      <c r="Q10" s="19"/>
      <c r="R10" s="19"/>
      <c r="S10" s="19"/>
      <c r="T10" s="19"/>
      <c r="U10" s="19"/>
      <c r="V10" s="19" t="s">
        <v>31</v>
      </c>
      <c r="W10" s="19"/>
      <c r="X10" s="19"/>
      <c r="Y10" s="19"/>
      <c r="Z10" s="19"/>
      <c r="AA10" s="19" t="s">
        <v>32</v>
      </c>
      <c r="AB10" s="19" t="s">
        <v>32</v>
      </c>
      <c r="AC10" s="19" t="s">
        <v>32</v>
      </c>
      <c r="AD10" s="19"/>
      <c r="AE10" s="19"/>
      <c r="AF10" s="19"/>
      <c r="AG10" s="19"/>
      <c r="AH10" s="3">
        <f>COUNTA(February[[#This Row],[1]:[29]])</f>
        <v>7</v>
      </c>
    </row>
    <row r="11" spans="1:34" ht="30" customHeight="1">
      <c r="B11" s="2" t="s">
        <v>58</v>
      </c>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3">
        <f>COUNTA(February[[#This Row],[1]:[29]])</f>
        <v>0</v>
      </c>
    </row>
    <row r="12" spans="1:34" ht="30" customHeight="1">
      <c r="B12" s="2" t="s">
        <v>59</v>
      </c>
      <c r="C12" s="19"/>
      <c r="D12" s="19"/>
      <c r="E12" s="19" t="s">
        <v>31</v>
      </c>
      <c r="F12" s="19"/>
      <c r="G12" s="19"/>
      <c r="H12" s="19"/>
      <c r="I12" s="19"/>
      <c r="J12" s="19"/>
      <c r="K12" s="19"/>
      <c r="L12" s="19"/>
      <c r="M12" s="19"/>
      <c r="N12" s="19"/>
      <c r="O12" s="19"/>
      <c r="P12" s="19" t="s">
        <v>31</v>
      </c>
      <c r="Q12" s="19"/>
      <c r="R12" s="19"/>
      <c r="S12" s="19"/>
      <c r="T12" s="19" t="s">
        <v>35</v>
      </c>
      <c r="U12" s="19"/>
      <c r="V12" s="19"/>
      <c r="W12" s="19"/>
      <c r="X12" s="19"/>
      <c r="Y12" s="19"/>
      <c r="Z12" s="19"/>
      <c r="AA12" s="19"/>
      <c r="AB12" s="19"/>
      <c r="AC12" s="19"/>
      <c r="AD12" s="19" t="s">
        <v>31</v>
      </c>
      <c r="AE12" s="19"/>
      <c r="AF12" s="19"/>
      <c r="AG12" s="19"/>
      <c r="AH12" s="3">
        <f>COUNTA(February[[#This Row],[1]:[29]])</f>
        <v>4</v>
      </c>
    </row>
    <row r="13" spans="1:34" ht="30" customHeight="1">
      <c r="B13" s="2" t="s">
        <v>60</v>
      </c>
      <c r="C13" s="19"/>
      <c r="D13" s="19"/>
      <c r="E13" s="19"/>
      <c r="F13" s="19"/>
      <c r="G13" s="19"/>
      <c r="H13" s="19"/>
      <c r="I13" s="19"/>
      <c r="J13" s="19" t="s">
        <v>32</v>
      </c>
      <c r="K13" s="19" t="s">
        <v>32</v>
      </c>
      <c r="L13" s="19" t="s">
        <v>32</v>
      </c>
      <c r="M13" s="19" t="s">
        <v>32</v>
      </c>
      <c r="N13" s="19"/>
      <c r="O13" s="19"/>
      <c r="P13" s="19"/>
      <c r="Q13" s="19"/>
      <c r="R13" s="19"/>
      <c r="S13" s="19"/>
      <c r="T13" s="19"/>
      <c r="U13" s="19"/>
      <c r="V13" s="19"/>
      <c r="W13" s="19"/>
      <c r="X13" s="19"/>
      <c r="Y13" s="19"/>
      <c r="Z13" s="19" t="s">
        <v>31</v>
      </c>
      <c r="AA13" s="19"/>
      <c r="AB13" s="19"/>
      <c r="AC13" s="19"/>
      <c r="AD13" s="19"/>
      <c r="AE13" s="19"/>
      <c r="AF13" s="19"/>
      <c r="AG13" s="19"/>
      <c r="AH13" s="3">
        <f>COUNTA(February[[#This Row],[1]:[29]])</f>
        <v>5</v>
      </c>
    </row>
    <row r="14" spans="1:34" ht="30" customHeight="1">
      <c r="B14" s="5" t="str">
        <f>MonthName&amp;" total"</f>
        <v>February total</v>
      </c>
      <c r="C14" s="4">
        <f>SUBTOTAL(103,February[1])</f>
        <v>0</v>
      </c>
      <c r="D14" s="4">
        <f>SUBTOTAL(103,February[2])</f>
        <v>0</v>
      </c>
      <c r="E14" s="4">
        <f>SUBTOTAL(103,February[3])</f>
        <v>2</v>
      </c>
      <c r="F14" s="4">
        <f>SUBTOTAL(103,February[4])</f>
        <v>1</v>
      </c>
      <c r="G14" s="4">
        <f>SUBTOTAL(103,February[5])</f>
        <v>2</v>
      </c>
      <c r="H14" s="4">
        <f>SUBTOTAL(103,February[6])</f>
        <v>2</v>
      </c>
      <c r="I14" s="4">
        <f>SUBTOTAL(103,February[7])</f>
        <v>0</v>
      </c>
      <c r="J14" s="4">
        <f>SUBTOTAL(103,February[8])</f>
        <v>1</v>
      </c>
      <c r="K14" s="4">
        <f>SUBTOTAL(103,February[9])</f>
        <v>1</v>
      </c>
      <c r="L14" s="4">
        <f>SUBTOTAL(103,February[10])</f>
        <v>1</v>
      </c>
      <c r="M14" s="4">
        <f>SUBTOTAL(103,February[11])</f>
        <v>2</v>
      </c>
      <c r="N14" s="4">
        <f>SUBTOTAL(103,February[12])</f>
        <v>0</v>
      </c>
      <c r="O14" s="4">
        <f>SUBTOTAL(103,February[13])</f>
        <v>1</v>
      </c>
      <c r="P14" s="4">
        <f>SUBTOTAL(103,February[14])</f>
        <v>1</v>
      </c>
      <c r="Q14" s="4">
        <f>SUBTOTAL(103,February[15])</f>
        <v>0</v>
      </c>
      <c r="R14" s="4">
        <f>SUBTOTAL(103,February[16])</f>
        <v>0</v>
      </c>
      <c r="S14" s="4">
        <f>SUBTOTAL(103,February[17])</f>
        <v>0</v>
      </c>
      <c r="T14" s="4">
        <f>SUBTOTAL(103,February[18])</f>
        <v>1</v>
      </c>
      <c r="U14" s="4">
        <f>SUBTOTAL(103,February[19])</f>
        <v>0</v>
      </c>
      <c r="V14" s="4">
        <f>SUBTOTAL(103,February[20])</f>
        <v>1</v>
      </c>
      <c r="W14" s="4">
        <f>SUBTOTAL(103,February[21])</f>
        <v>0</v>
      </c>
      <c r="X14" s="4">
        <f>SUBTOTAL(103,February[22])</f>
        <v>0</v>
      </c>
      <c r="Y14" s="4">
        <f>SUBTOTAL(103,February[23])</f>
        <v>0</v>
      </c>
      <c r="Z14" s="4">
        <f>SUBTOTAL(103,February[24])</f>
        <v>1</v>
      </c>
      <c r="AA14" s="4">
        <f>SUBTOTAL(103,February[25])</f>
        <v>1</v>
      </c>
      <c r="AB14" s="4">
        <f>SUBTOTAL(103,February[26])</f>
        <v>1</v>
      </c>
      <c r="AC14" s="4">
        <f>SUBTOTAL(103,February[27])</f>
        <v>1</v>
      </c>
      <c r="AD14" s="4">
        <f>SUBTOTAL(103,February[28])</f>
        <v>1</v>
      </c>
      <c r="AE14" s="4">
        <f>SUBTOTAL(103,February[29])</f>
        <v>0</v>
      </c>
      <c r="AF14" s="4"/>
      <c r="AG14" s="4"/>
      <c r="AH14" s="4">
        <f>SUBTOTAL(109,February[Total days])</f>
        <v>21</v>
      </c>
    </row>
  </sheetData>
  <mergeCells count="6">
    <mergeCell ref="C6:AG6"/>
    <mergeCell ref="D4:F4"/>
    <mergeCell ref="H4:J4"/>
    <mergeCell ref="L4:M4"/>
    <mergeCell ref="O4:Q4"/>
    <mergeCell ref="S4:U4"/>
  </mergeCells>
  <conditionalFormatting sqref="C9:AG13">
    <cfRule type="expression" priority="3" stopIfTrue="1">
      <formula>C9=""</formula>
    </cfRule>
    <cfRule type="expression" dxfId="1066" priority="4" stopIfTrue="1">
      <formula>C9=KeyCustom2</formula>
    </cfRule>
    <cfRule type="expression" dxfId="1065" priority="6" stopIfTrue="1">
      <formula>C9=KeyCustom1</formula>
    </cfRule>
    <cfRule type="expression" dxfId="1064" priority="7" stopIfTrue="1">
      <formula>C9=KeySick</formula>
    </cfRule>
    <cfRule type="expression" dxfId="1063" priority="8" stopIfTrue="1">
      <formula>C9=KeyPersonal</formula>
    </cfRule>
    <cfRule type="expression" dxfId="1062" priority="9" stopIfTrue="1">
      <formula>C9=KeyVacation</formula>
    </cfRule>
  </conditionalFormatting>
  <conditionalFormatting sqref="AE7">
    <cfRule type="expression" dxfId="1061" priority="1">
      <formula>MONTH(DATE(CalendarYear,2,29))&lt;&gt;2</formula>
    </cfRule>
  </conditionalFormatting>
  <conditionalFormatting sqref="AE8">
    <cfRule type="expression" dxfId="1060" priority="17">
      <formula>MONTH(DATE(CalendarYear,2,29))&lt;&gt;2</formula>
    </cfRule>
  </conditionalFormatting>
  <conditionalFormatting sqref="AH9:AH13">
    <cfRule type="dataBar" priority="154">
      <dataBar>
        <cfvo type="min"/>
        <cfvo type="formula" val="DATEDIF(DATE(CalendarYear,2,1),DATE(CalendarYear,3,1),&quot;d&quot;)"/>
        <color theme="4"/>
      </dataBar>
      <extLst>
        <ext xmlns:x14="http://schemas.microsoft.com/office/spreadsheetml/2009/9/main" uri="{B025F937-C7B1-47D3-B67F-A62EFF666E3E}">
          <x14:id>{94738C71-AB78-40C3-A818-D083AE35CC38}</x14:id>
        </ext>
      </extLst>
    </cfRule>
  </conditionalFormatting>
  <dataValidations xWindow="232" yWindow="365" count="15">
    <dataValidation allowBlank="1" showInputMessage="1" showErrorMessage="1" prompt="Automatically updated year based on year entered in January worksheet" sqref="AH6"/>
    <dataValidation allowBlank="1" showInputMessage="1" showErrorMessage="1" prompt="Track February absence in this worksheet" sqref="A1"/>
    <dataValidation allowBlank="1" showInputMessage="1" showErrorMessage="1" prompt="Automatically calculates total number of days an employee was absent this month in this column" sqref="AH8"/>
    <dataValidation allowBlank="1" showInputMessage="1" showErrorMessage="1" prompt="Automatically updated title is in this cell. To modify the title, update B1 on January worksheet" sqref="B2"/>
    <dataValidation allowBlank="1" showInputMessage="1" showErrorMessage="1" prompt="Month name for this absence schedule is in this cell. Absence totals for this month are in last cell of the table. Select employee names in table column B" sqref="B2"/>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dataValidation allowBlank="1" showInputMessage="1" showErrorMessage="1" prompt="Enter a label to describe the custom key at left" sqref="O4:Q4 S4:U4"/>
    <dataValidation allowBlank="1" showInputMessage="1" showErrorMessage="1" prompt="Enter a letter and customize the label at right to add another key item" sqref="N4 R4"/>
    <dataValidation allowBlank="1" showInputMessage="1" showErrorMessage="1" prompt="The letter &quot;S&quot; indicates absence due to illness" sqref="K4"/>
    <dataValidation allowBlank="1" showInputMessage="1" showErrorMessage="1" prompt="The letter &quot;P&quot; indicates absence due to personal reasons" sqref="G4"/>
    <dataValidation allowBlank="1" showInputMessage="1" showErrorMessage="1" prompt="The letter &quot;V&quot; indicates absence due to vacation" sqref="C4"/>
    <dataValidation allowBlank="1" showInputMessage="1" showErrorMessage="1" prompt="Days of the month in this row are automatically generated. Enter an employee's absence and absence type in each column for each day of the month. Blank means no absence" sqref="C8"/>
    <dataValidation allowBlank="1" showInputMessage="1" showErrorMessage="1" prompt="Weekdays in this row are automatically updated for the month according to the year in AH4. Each day of the month is a column to note an employee's absence and absence type" sqref="C7"/>
    <dataValidation allowBlank="1" showInputMessage="1" showErrorMessage="1" prompt="This row defines the keys used in the table: cell C4 is Vacation, G4 is Personal, &amp; K4 is Sick leave. Cells N4 &amp; R4 are customizable " sqref="B4"/>
    <dataValidation allowBlank="1" showInputMessage="1" showErrorMessage="1" prompt="Title of the worksheet is in this cell. " sqref="B1"/>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4738C71-AB78-40C3-A818-D083AE35CC38}">
            <x14:dataBar minLength="0" maxLength="100" gradient="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xWindow="232" yWindow="365" count="1">
        <x14:dataValidation type="list" allowBlank="1" showInputMessage="1" showErrorMessage="1">
          <x14:formula1>
            <xm:f>'Employee names'!$C$5:$C$23</xm:f>
          </x14:formula1>
          <xm:sqref>B9:B13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B1:AH14"/>
  <sheetViews>
    <sheetView showGridLines="0" zoomScaleNormal="100" workbookViewId="0">
      <selection activeCell="B4" sqref="B4"/>
    </sheetView>
  </sheetViews>
  <sheetFormatPr defaultColWidth="8.77734375" defaultRowHeight="30" customHeight="1"/>
  <cols>
    <col min="1" max="1" width="2.6640625" customWidth="1"/>
    <col min="2" max="2" width="25.6640625" customWidth="1"/>
    <col min="3" max="33" width="4.6640625" customWidth="1"/>
    <col min="34" max="34" width="13.44140625" customWidth="1"/>
    <col min="35" max="35" width="2.6640625" customWidth="1"/>
  </cols>
  <sheetData>
    <row r="1" spans="2:34" ht="49.95" customHeight="1">
      <c r="B1" s="24" t="s">
        <v>53</v>
      </c>
    </row>
    <row r="2" spans="2:34" ht="100.05" customHeight="1">
      <c r="B2" s="25" t="s">
        <v>43</v>
      </c>
    </row>
    <row r="3" spans="2:34" ht="15" customHeight="1">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2:34" ht="30" customHeight="1">
      <c r="B4" s="7" t="s">
        <v>54</v>
      </c>
      <c r="C4" s="28" t="s">
        <v>32</v>
      </c>
      <c r="D4" s="284" t="s">
        <v>37</v>
      </c>
      <c r="E4" s="284"/>
      <c r="F4" s="284"/>
      <c r="G4" s="26" t="s">
        <v>35</v>
      </c>
      <c r="H4" s="284" t="s">
        <v>38</v>
      </c>
      <c r="I4" s="284"/>
      <c r="J4" s="284"/>
      <c r="K4" s="27" t="s">
        <v>31</v>
      </c>
      <c r="L4" s="284" t="s">
        <v>39</v>
      </c>
      <c r="M4" s="284"/>
      <c r="N4" s="17"/>
      <c r="O4" s="284" t="s">
        <v>40</v>
      </c>
      <c r="P4" s="284"/>
      <c r="Q4" s="284"/>
      <c r="R4" s="18"/>
      <c r="S4" s="284" t="s">
        <v>41</v>
      </c>
      <c r="T4" s="284"/>
      <c r="U4" s="284"/>
    </row>
    <row r="5" spans="2:34" ht="15" customHeight="1">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2:34" ht="49.95" customHeight="1">
      <c r="B6" s="6"/>
      <c r="C6" s="283" t="s">
        <v>55</v>
      </c>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6">
        <f ca="1">CalendarYear</f>
        <v>2026</v>
      </c>
    </row>
    <row r="7" spans="2:34" ht="30" customHeight="1">
      <c r="B7" s="6"/>
      <c r="C7" s="21" t="str">
        <f ca="1">TEXT(WEEKDAY(DATE(CalendarYear,3,1),1),"aaa")</f>
        <v>Sun</v>
      </c>
      <c r="D7" s="21" t="str">
        <f ca="1">TEXT(WEEKDAY(DATE(CalendarYear,3,2),1),"aaa")</f>
        <v>Mon</v>
      </c>
      <c r="E7" s="21" t="str">
        <f ca="1">TEXT(WEEKDAY(DATE(CalendarYear,3,3),1),"aaa")</f>
        <v>Tue</v>
      </c>
      <c r="F7" s="21" t="str">
        <f ca="1">TEXT(WEEKDAY(DATE(CalendarYear,3,4),1),"aaa")</f>
        <v>Wed</v>
      </c>
      <c r="G7" s="21" t="str">
        <f ca="1">TEXT(WEEKDAY(DATE(CalendarYear,3,5),1),"aaa")</f>
        <v>Thu</v>
      </c>
      <c r="H7" s="21" t="str">
        <f ca="1">TEXT(WEEKDAY(DATE(CalendarYear,3,6),1),"aaa")</f>
        <v>Fri</v>
      </c>
      <c r="I7" s="21" t="str">
        <f ca="1">TEXT(WEEKDAY(DATE(CalendarYear,3,7),1),"aaa")</f>
        <v>Sat</v>
      </c>
      <c r="J7" s="21" t="str">
        <f ca="1">TEXT(WEEKDAY(DATE(CalendarYear,3,8),1),"aaa")</f>
        <v>Sun</v>
      </c>
      <c r="K7" s="21" t="str">
        <f ca="1">TEXT(WEEKDAY(DATE(CalendarYear,3,9),1),"aaa")</f>
        <v>Mon</v>
      </c>
      <c r="L7" s="21" t="str">
        <f ca="1">TEXT(WEEKDAY(DATE(CalendarYear,3,10),1),"aaa")</f>
        <v>Tue</v>
      </c>
      <c r="M7" s="21" t="str">
        <f ca="1">TEXT(WEEKDAY(DATE(CalendarYear,3,11),1),"aaa")</f>
        <v>Wed</v>
      </c>
      <c r="N7" s="21" t="str">
        <f ca="1">TEXT(WEEKDAY(DATE(CalendarYear,3,12),1),"aaa")</f>
        <v>Thu</v>
      </c>
      <c r="O7" s="21" t="str">
        <f ca="1">TEXT(WEEKDAY(DATE(CalendarYear,3,13),1),"aaa")</f>
        <v>Fri</v>
      </c>
      <c r="P7" s="21" t="str">
        <f ca="1">TEXT(WEEKDAY(DATE(CalendarYear,3,14),1),"aaa")</f>
        <v>Sat</v>
      </c>
      <c r="Q7" s="21" t="str">
        <f ca="1">TEXT(WEEKDAY(DATE(CalendarYear,3,15),1),"aaa")</f>
        <v>Sun</v>
      </c>
      <c r="R7" s="21" t="str">
        <f ca="1">TEXT(WEEKDAY(DATE(CalendarYear,3,16),1),"aaa")</f>
        <v>Mon</v>
      </c>
      <c r="S7" s="21" t="str">
        <f ca="1">TEXT(WEEKDAY(DATE(CalendarYear,3,17),1),"aaa")</f>
        <v>Tue</v>
      </c>
      <c r="T7" s="21" t="str">
        <f ca="1">TEXT(WEEKDAY(DATE(CalendarYear,3,18),1),"aaa")</f>
        <v>Wed</v>
      </c>
      <c r="U7" s="21" t="str">
        <f ca="1">TEXT(WEEKDAY(DATE(CalendarYear,3,19),1),"aaa")</f>
        <v>Thu</v>
      </c>
      <c r="V7" s="21" t="str">
        <f ca="1">TEXT(WEEKDAY(DATE(CalendarYear,3,20),1),"aaa")</f>
        <v>Fri</v>
      </c>
      <c r="W7" s="21" t="str">
        <f ca="1">TEXT(WEEKDAY(DATE(CalendarYear,3,21),1),"aaa")</f>
        <v>Sat</v>
      </c>
      <c r="X7" s="21" t="str">
        <f ca="1">TEXT(WEEKDAY(DATE(CalendarYear,3,22),1),"aaa")</f>
        <v>Sun</v>
      </c>
      <c r="Y7" s="21" t="str">
        <f ca="1">TEXT(WEEKDAY(DATE(CalendarYear,3,23),1),"aaa")</f>
        <v>Mon</v>
      </c>
      <c r="Z7" s="21" t="str">
        <f ca="1">TEXT(WEEKDAY(DATE(CalendarYear,3,24),1),"aaa")</f>
        <v>Tue</v>
      </c>
      <c r="AA7" s="21" t="str">
        <f ca="1">TEXT(WEEKDAY(DATE(CalendarYear,3,25),1),"aaa")</f>
        <v>Wed</v>
      </c>
      <c r="AB7" s="21" t="str">
        <f ca="1">TEXT(WEEKDAY(DATE(CalendarYear,3,26),1),"aaa")</f>
        <v>Thu</v>
      </c>
      <c r="AC7" s="21" t="str">
        <f ca="1">TEXT(WEEKDAY(DATE(CalendarYear,3,27),1),"aaa")</f>
        <v>Fri</v>
      </c>
      <c r="AD7" s="21" t="str">
        <f ca="1">TEXT(WEEKDAY(DATE(CalendarYear,3,28),1),"aaa")</f>
        <v>Sat</v>
      </c>
      <c r="AE7" s="21" t="str">
        <f ca="1">TEXT(WEEKDAY(DATE(CalendarYear,3,29),1),"aaa")</f>
        <v>Sun</v>
      </c>
      <c r="AF7" s="21" t="str">
        <f ca="1">TEXT(WEEKDAY(DATE(CalendarYear,3,30),1),"aaa")</f>
        <v>Mon</v>
      </c>
      <c r="AG7" s="21" t="str">
        <f ca="1">TEXT(WEEKDAY(DATE(CalendarYear,3,31),1),"aaa")</f>
        <v>Tue</v>
      </c>
      <c r="AH7" s="6"/>
    </row>
    <row r="8" spans="2:34" ht="30" customHeight="1">
      <c r="B8" s="20" t="s">
        <v>61</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30</v>
      </c>
      <c r="AH8" s="22" t="s">
        <v>62</v>
      </c>
    </row>
    <row r="9" spans="2:34" ht="30" customHeight="1">
      <c r="B9" s="2" t="s">
        <v>56</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3">
        <f>COUNTA(March[[#This Row],[1]:[31]])</f>
        <v>0</v>
      </c>
    </row>
    <row r="10" spans="2:34" ht="30" customHeight="1">
      <c r="B10" s="2" t="s">
        <v>57</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3">
        <f>COUNTA(March[[#This Row],[1]:[31]])</f>
        <v>0</v>
      </c>
    </row>
    <row r="11" spans="2:34" ht="30" customHeight="1">
      <c r="B11" s="2" t="s">
        <v>58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3">
        <f>COUNTA(March[[#This Row],[1]:[31]])</f>
        <v>0</v>
      </c>
    </row>
    <row r="12" spans="2:34" ht="30" customHeight="1">
      <c r="B12" s="2" t="s">
        <v>59</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3">
        <f>COUNTA(March[[#This Row],[1]:[31]])</f>
        <v>0</v>
      </c>
    </row>
    <row r="13" spans="2:34" ht="30" customHeight="1">
      <c r="B13" s="2" t="s">
        <v>60</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3">
        <f>COUNTA(March[[#This Row],[1]:[31]])</f>
        <v>0</v>
      </c>
    </row>
    <row r="14" spans="2:34" ht="30" customHeight="1">
      <c r="B14" s="5" t="str">
        <f>MonthName&amp;" Total"</f>
        <v>March Total</v>
      </c>
      <c r="C14" s="4">
        <f>SUBTOTAL(103,March[1])</f>
        <v>0</v>
      </c>
      <c r="D14" s="4">
        <f>SUBTOTAL(103,March[2])</f>
        <v>0</v>
      </c>
      <c r="E14" s="4">
        <f>SUBTOTAL(103,March[3])</f>
        <v>0</v>
      </c>
      <c r="F14" s="4">
        <f>SUBTOTAL(103,March[4])</f>
        <v>0</v>
      </c>
      <c r="G14" s="4">
        <f>SUBTOTAL(103,March[5])</f>
        <v>0</v>
      </c>
      <c r="H14" s="4">
        <f>SUBTOTAL(103,March[6])</f>
        <v>0</v>
      </c>
      <c r="I14" s="4">
        <f>SUBTOTAL(103,March[7])</f>
        <v>0</v>
      </c>
      <c r="J14" s="4">
        <f>SUBTOTAL(103,March[8])</f>
        <v>0</v>
      </c>
      <c r="K14" s="4">
        <f>SUBTOTAL(103,March[9])</f>
        <v>0</v>
      </c>
      <c r="L14" s="4">
        <f>SUBTOTAL(103,March[10])</f>
        <v>0</v>
      </c>
      <c r="M14" s="4">
        <f>SUBTOTAL(103,March[11])</f>
        <v>0</v>
      </c>
      <c r="N14" s="4">
        <f>SUBTOTAL(103,March[12])</f>
        <v>0</v>
      </c>
      <c r="O14" s="4">
        <f>SUBTOTAL(103,March[13])</f>
        <v>0</v>
      </c>
      <c r="P14" s="4">
        <f>SUBTOTAL(103,March[14])</f>
        <v>0</v>
      </c>
      <c r="Q14" s="4">
        <f>SUBTOTAL(103,March[15])</f>
        <v>0</v>
      </c>
      <c r="R14" s="4">
        <f>SUBTOTAL(103,March[16])</f>
        <v>0</v>
      </c>
      <c r="S14" s="4">
        <f>SUBTOTAL(103,March[17])</f>
        <v>0</v>
      </c>
      <c r="T14" s="4">
        <f>SUBTOTAL(103,March[18])</f>
        <v>0</v>
      </c>
      <c r="U14" s="4">
        <f>SUBTOTAL(103,March[19])</f>
        <v>0</v>
      </c>
      <c r="V14" s="4">
        <f>SUBTOTAL(103,March[20])</f>
        <v>0</v>
      </c>
      <c r="W14" s="4">
        <f>SUBTOTAL(103,March[21])</f>
        <v>0</v>
      </c>
      <c r="X14" s="4">
        <f>SUBTOTAL(103,March[22])</f>
        <v>0</v>
      </c>
      <c r="Y14" s="4">
        <f>SUBTOTAL(103,March[23])</f>
        <v>0</v>
      </c>
      <c r="Z14" s="4">
        <f>SUBTOTAL(103,March[24])</f>
        <v>0</v>
      </c>
      <c r="AA14" s="4">
        <f>SUBTOTAL(103,March[25])</f>
        <v>0</v>
      </c>
      <c r="AB14" s="4">
        <f>SUBTOTAL(103,March[26])</f>
        <v>0</v>
      </c>
      <c r="AC14" s="4">
        <f>SUBTOTAL(103,March[27])</f>
        <v>0</v>
      </c>
      <c r="AD14" s="4">
        <f>SUBTOTAL(103,March[28])</f>
        <v>0</v>
      </c>
      <c r="AE14" s="4">
        <f>SUBTOTAL(103,March[29])</f>
        <v>0</v>
      </c>
      <c r="AF14" s="4">
        <f>SUBTOTAL(109,March[30])</f>
        <v>0</v>
      </c>
      <c r="AG14" s="4">
        <f>SUBTOTAL(109,March[31])</f>
        <v>0</v>
      </c>
      <c r="AH14" s="4">
        <f>SUBTOTAL(109,March[Total days])</f>
        <v>0</v>
      </c>
    </row>
  </sheetData>
  <mergeCells count="6">
    <mergeCell ref="C6:AG6"/>
    <mergeCell ref="D4:F4"/>
    <mergeCell ref="H4:J4"/>
    <mergeCell ref="L4:M4"/>
    <mergeCell ref="O4:Q4"/>
    <mergeCell ref="S4:U4"/>
  </mergeCells>
  <conditionalFormatting sqref="C9:AG13">
    <cfRule type="expression" priority="1" stopIfTrue="1">
      <formula>C9=""</formula>
    </cfRule>
    <cfRule type="expression" dxfId="1059" priority="2" stopIfTrue="1">
      <formula>C9=KeyCustom2</formula>
    </cfRule>
    <cfRule type="expression" dxfId="1058" priority="3" stopIfTrue="1">
      <formula>C9=KeyCustom1</formula>
    </cfRule>
    <cfRule type="expression" dxfId="1057" priority="4" stopIfTrue="1">
      <formula>C9=KeySick</formula>
    </cfRule>
    <cfRule type="expression" dxfId="1056" priority="5" stopIfTrue="1">
      <formula>C9=KeyPersonal</formula>
    </cfRule>
    <cfRule type="expression" dxfId="1055" priority="6" stopIfTrue="1">
      <formula>C9=KeyVacation</formula>
    </cfRule>
  </conditionalFormatting>
  <conditionalFormatting sqref="AH9:AH13">
    <cfRule type="dataBar" priority="7">
      <dataBar>
        <cfvo type="min"/>
        <cfvo type="formula" val="DATEDIF(DATE(CalendarYear,2,1),DATE(CalendarYear,3,1),&quot;d&quot;)"/>
        <color theme="2" tint="-0.249977111117893"/>
      </dataBar>
      <extLst>
        <ext xmlns:x14="http://schemas.microsoft.com/office/spreadsheetml/2009/9/main" uri="{B025F937-C7B1-47D3-B67F-A62EFF666E3E}">
          <x14:id>{7C2B6C3E-666E-4369-8C57-FD32A7D03A3C}</x14:id>
        </ext>
      </extLst>
    </cfRule>
  </conditionalFormatting>
  <dataValidations count="15">
    <dataValidation allowBlank="1" showInputMessage="1" showErrorMessage="1" prompt="Days of the month in this row are automatically generated. Enter an employee's absence and absence type in each column for each day of the month. Blank means no absence" sqref="C8"/>
    <dataValidation allowBlank="1" showInputMessage="1" showErrorMessage="1" prompt="Enter a label to describe the custom key at left" sqref="O4:Q4 S4:U4"/>
    <dataValidation allowBlank="1" showInputMessage="1" showErrorMessage="1" prompt="Enter a letter and customize the label at right to add another key item" sqref="N4 R4"/>
    <dataValidation allowBlank="1" showInputMessage="1" showErrorMessage="1" prompt="The letter &quot;S&quot; indicates absence due to illness" sqref="K4"/>
    <dataValidation allowBlank="1" showInputMessage="1" showErrorMessage="1" prompt="The letter &quot;P&quot; indicates absence due to personal reasons" sqref="G4"/>
    <dataValidation allowBlank="1" showInputMessage="1" showErrorMessage="1" prompt="The letter &quot;V&quot; indicates absence due to vacation" sqref="C4"/>
    <dataValidation allowBlank="1" showInputMessage="1" showErrorMessage="1" prompt="Automatically updated title is in this cell. To modify the title, update B1 on January worksheet" sqref="B2"/>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dataValidation allowBlank="1" showInputMessage="1" showErrorMessage="1" prompt="Track March absence in this worksheet" sqref="A1"/>
    <dataValidation allowBlank="1" showInputMessage="1" showErrorMessage="1" prompt="Automatically calculates total number of days an employee was absent this month in this column" sqref="AH8"/>
    <dataValidation allowBlank="1" showInputMessage="1" showErrorMessage="1" prompt="Automatically updated year based on year entered in January worksheet" sqref="AH6"/>
    <dataValidation allowBlank="1" showInputMessage="1" showErrorMessage="1" prompt="Weekdays in this row are automatically updated for the month according to the year in AH4. Each day of the month is a column to note an employee's absence and absence type" sqref="C7"/>
    <dataValidation allowBlank="1" showInputMessage="1" showErrorMessage="1" prompt="Month name for this absence schedule is in this cell. Absence totals for this month are in last cell of the table. Select employee names in table column B" sqref="B2"/>
    <dataValidation allowBlank="1" showInputMessage="1" showErrorMessage="1" prompt="This row defines the keys used in the table: cell C4 is Vacation, G4 is Personal, &amp; K4 is Sick leave. Cells N4 &amp; R4 are customizable " sqref="B4"/>
    <dataValidation allowBlank="1" showInputMessage="1" showErrorMessage="1" prompt="Title of the worksheet is in this cell. " sqref="B1"/>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C2B6C3E-666E-4369-8C57-FD32A7D03A3C}">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names'!$C$5:$C$23</xm:f>
          </x14:formula1>
          <xm:sqref>B9:B13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B1:AR18"/>
  <sheetViews>
    <sheetView showGridLines="0" zoomScale="80" zoomScaleNormal="80" workbookViewId="0">
      <selection activeCell="L2" sqref="L2"/>
    </sheetView>
  </sheetViews>
  <sheetFormatPr defaultColWidth="8.77734375" defaultRowHeight="30" customHeight="1"/>
  <cols>
    <col min="1" max="1" width="1.109375" customWidth="1"/>
    <col min="2" max="2" width="15.77734375" customWidth="1"/>
    <col min="3" max="33" width="4" customWidth="1"/>
    <col min="34" max="34" width="11.109375" customWidth="1"/>
    <col min="35" max="35" width="1.44140625" customWidth="1"/>
    <col min="36" max="36" width="13.77734375" customWidth="1"/>
    <col min="37" max="37" width="11.6640625" customWidth="1"/>
    <col min="38" max="38" width="11.21875" customWidth="1"/>
    <col min="39" max="39" width="10.33203125" customWidth="1"/>
    <col min="40" max="40" width="12" customWidth="1"/>
    <col min="41" max="41" width="12.33203125" customWidth="1"/>
    <col min="42" max="42" width="2.6640625" customWidth="1"/>
  </cols>
  <sheetData>
    <row r="1" spans="2:44" ht="34.200000000000003" customHeight="1">
      <c r="B1" s="24" t="s">
        <v>53</v>
      </c>
    </row>
    <row r="2" spans="2:44" ht="37.200000000000003" customHeight="1">
      <c r="B2" s="101" t="s">
        <v>44</v>
      </c>
    </row>
    <row r="3" spans="2:44" ht="15" hidden="1" customHeight="1">
      <c r="B3" s="90"/>
      <c r="AQ3" s="51"/>
      <c r="AR3" s="51"/>
    </row>
    <row r="4" spans="2:44" ht="19.8" customHeight="1">
      <c r="B4" s="92"/>
      <c r="C4" s="93"/>
      <c r="D4" s="285"/>
      <c r="E4" s="285"/>
      <c r="F4" s="285"/>
      <c r="G4" s="94"/>
      <c r="H4" s="285"/>
      <c r="I4" s="285"/>
      <c r="J4" s="285"/>
      <c r="K4" s="95"/>
      <c r="L4" s="285"/>
      <c r="M4" s="285"/>
      <c r="N4" s="96"/>
      <c r="O4" s="285"/>
      <c r="P4" s="285"/>
      <c r="Q4" s="285"/>
      <c r="R4" s="97"/>
      <c r="S4" s="285"/>
      <c r="T4" s="285"/>
      <c r="U4" s="285"/>
      <c r="AH4" s="108" t="s">
        <v>89</v>
      </c>
      <c r="AQ4" s="51"/>
      <c r="AR4" s="51"/>
    </row>
    <row r="5" spans="2:44" ht="14.4">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109">
        <v>20000</v>
      </c>
      <c r="AQ5" s="51"/>
      <c r="AR5" s="51"/>
    </row>
    <row r="6" spans="2:44" ht="24.6" customHeight="1">
      <c r="B6" s="6"/>
      <c r="C6" s="283" t="s">
        <v>55</v>
      </c>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6">
        <f ca="1">CalendarYear</f>
        <v>2026</v>
      </c>
      <c r="AQ6" s="51"/>
      <c r="AR6" s="51"/>
    </row>
    <row r="7" spans="2:44" ht="19.8" customHeight="1">
      <c r="B7" s="6"/>
      <c r="C7" s="21" t="str">
        <f ca="1">TEXT(WEEKDAY(DATE(CalendarYear,4,1),1),"aaa")</f>
        <v>Wed</v>
      </c>
      <c r="D7" s="21" t="str">
        <f ca="1">TEXT(WEEKDAY(DATE(CalendarYear,4,2),1),"aaa")</f>
        <v>Thu</v>
      </c>
      <c r="E7" s="21" t="str">
        <f ca="1">TEXT(WEEKDAY(DATE(CalendarYear,4,3),1),"aaa")</f>
        <v>Fri</v>
      </c>
      <c r="F7" s="21" t="str">
        <f ca="1">TEXT(WEEKDAY(DATE(CalendarYear,4,4),1),"aaa")</f>
        <v>Sat</v>
      </c>
      <c r="G7" s="21" t="str">
        <f ca="1">TEXT(WEEKDAY(DATE(CalendarYear,4,5),1),"aaa")</f>
        <v>Sun</v>
      </c>
      <c r="H7" s="102" t="str">
        <f ca="1">TEXT(WEEKDAY(DATE(CalendarYear,4,6),1),"aaa")</f>
        <v>Mon</v>
      </c>
      <c r="I7" s="21" t="str">
        <f ca="1">TEXT(WEEKDAY(DATE(CalendarYear,4,7),1),"aaa")</f>
        <v>Tue</v>
      </c>
      <c r="J7" s="21" t="str">
        <f ca="1">TEXT(WEEKDAY(DATE(CalendarYear,4,8),1),"aaa")</f>
        <v>Wed</v>
      </c>
      <c r="K7" s="21" t="str">
        <f ca="1">TEXT(WEEKDAY(DATE(CalendarYear,4,9),1),"aaa")</f>
        <v>Thu</v>
      </c>
      <c r="L7" s="21" t="str">
        <f ca="1">TEXT(WEEKDAY(DATE(CalendarYear,4,10),1),"aaa")</f>
        <v>Fri</v>
      </c>
      <c r="M7" s="21" t="str">
        <f ca="1">TEXT(WEEKDAY(DATE(CalendarYear,4,11),1),"aaa")</f>
        <v>Sat</v>
      </c>
      <c r="N7" s="21" t="str">
        <f ca="1">TEXT(WEEKDAY(DATE(CalendarYear,4,12),1),"aaa")</f>
        <v>Sun</v>
      </c>
      <c r="O7" s="102" t="str">
        <f ca="1">TEXT(WEEKDAY(DATE(CalendarYear,4,13),1),"aaa")</f>
        <v>Mon</v>
      </c>
      <c r="P7" s="21" t="str">
        <f ca="1">TEXT(WEEKDAY(DATE(CalendarYear,4,14),1),"aaa")</f>
        <v>Tue</v>
      </c>
      <c r="Q7" s="21" t="str">
        <f ca="1">TEXT(WEEKDAY(DATE(CalendarYear,4,15),1),"aaa")</f>
        <v>Wed</v>
      </c>
      <c r="R7" s="21" t="str">
        <f ca="1">TEXT(WEEKDAY(DATE(CalendarYear,4,16),1),"aaa")</f>
        <v>Thu</v>
      </c>
      <c r="S7" s="21" t="str">
        <f ca="1">TEXT(WEEKDAY(DATE(CalendarYear,4,17),1),"aaa")</f>
        <v>Fri</v>
      </c>
      <c r="T7" s="21" t="str">
        <f ca="1">TEXT(WEEKDAY(DATE(CalendarYear,4,18),1),"aaa")</f>
        <v>Sat</v>
      </c>
      <c r="U7" s="21" t="str">
        <f ca="1">TEXT(WEEKDAY(DATE(CalendarYear,4,19),1),"aaa")</f>
        <v>Sun</v>
      </c>
      <c r="V7" s="102" t="str">
        <f ca="1">TEXT(WEEKDAY(DATE(CalendarYear,4,20),1),"aaa")</f>
        <v>Mon</v>
      </c>
      <c r="W7" s="21" t="str">
        <f ca="1">TEXT(WEEKDAY(DATE(CalendarYear,4,21),1),"aaa")</f>
        <v>Tue</v>
      </c>
      <c r="X7" s="21" t="str">
        <f ca="1">TEXT(WEEKDAY(DATE(CalendarYear,4,22),1),"aaa")</f>
        <v>Wed</v>
      </c>
      <c r="Y7" s="21" t="str">
        <f ca="1">TEXT(WEEKDAY(DATE(CalendarYear,4,23),1),"aaa")</f>
        <v>Thu</v>
      </c>
      <c r="Z7" s="21" t="str">
        <f ca="1">TEXT(WEEKDAY(DATE(CalendarYear,4,24),1),"aaa")</f>
        <v>Fri</v>
      </c>
      <c r="AA7" s="21" t="str">
        <f ca="1">TEXT(WEEKDAY(DATE(CalendarYear,4,25),1),"aaa")</f>
        <v>Sat</v>
      </c>
      <c r="AB7" s="21" t="str">
        <f ca="1">TEXT(WEEKDAY(DATE(CalendarYear,4,26),1),"aaa")</f>
        <v>Sun</v>
      </c>
      <c r="AC7" s="102" t="str">
        <f ca="1">TEXT(WEEKDAY(DATE(CalendarYear,4,27),1),"aaa")</f>
        <v>Mon</v>
      </c>
      <c r="AD7" s="21" t="str">
        <f ca="1">TEXT(WEEKDAY(DATE(CalendarYear,4,28),1),"aaa")</f>
        <v>Tue</v>
      </c>
      <c r="AE7" s="21" t="str">
        <f ca="1">TEXT(WEEKDAY(DATE(CalendarYear,4,29),1),"aaa")</f>
        <v>Wed</v>
      </c>
      <c r="AF7" s="21" t="str">
        <f ca="1">TEXT(WEEKDAY(DATE(CalendarYear,4,30),1),"aaa")</f>
        <v>Thu</v>
      </c>
      <c r="AG7" s="21"/>
      <c r="AH7" s="6"/>
    </row>
    <row r="8" spans="2:44" ht="30" customHeight="1">
      <c r="B8" s="106" t="s">
        <v>61</v>
      </c>
      <c r="C8" s="1" t="s">
        <v>0</v>
      </c>
      <c r="D8" s="1" t="s">
        <v>1</v>
      </c>
      <c r="E8" s="1" t="s">
        <v>2</v>
      </c>
      <c r="F8" s="1" t="s">
        <v>3</v>
      </c>
      <c r="G8" s="1" t="s">
        <v>4</v>
      </c>
      <c r="H8" s="103" t="s">
        <v>5</v>
      </c>
      <c r="I8" s="1" t="s">
        <v>6</v>
      </c>
      <c r="J8" s="1" t="s">
        <v>7</v>
      </c>
      <c r="K8" s="1" t="s">
        <v>8</v>
      </c>
      <c r="L8" s="1" t="s">
        <v>9</v>
      </c>
      <c r="M8" s="1" t="s">
        <v>10</v>
      </c>
      <c r="N8" s="1" t="s">
        <v>11</v>
      </c>
      <c r="O8" s="103" t="s">
        <v>12</v>
      </c>
      <c r="P8" s="1" t="s">
        <v>13</v>
      </c>
      <c r="Q8" s="1" t="s">
        <v>14</v>
      </c>
      <c r="R8" s="1" t="s">
        <v>15</v>
      </c>
      <c r="S8" s="1" t="s">
        <v>16</v>
      </c>
      <c r="T8" s="1" t="s">
        <v>17</v>
      </c>
      <c r="U8" s="1" t="s">
        <v>18</v>
      </c>
      <c r="V8" s="103" t="s">
        <v>19</v>
      </c>
      <c r="W8" s="1" t="s">
        <v>20</v>
      </c>
      <c r="X8" s="1" t="s">
        <v>21</v>
      </c>
      <c r="Y8" s="1" t="s">
        <v>22</v>
      </c>
      <c r="Z8" s="1" t="s">
        <v>23</v>
      </c>
      <c r="AA8" s="1" t="s">
        <v>24</v>
      </c>
      <c r="AB8" s="1" t="s">
        <v>25</v>
      </c>
      <c r="AC8" s="103" t="s">
        <v>26</v>
      </c>
      <c r="AD8" s="1" t="s">
        <v>27</v>
      </c>
      <c r="AE8" s="1" t="s">
        <v>28</v>
      </c>
      <c r="AF8" s="1" t="s">
        <v>29</v>
      </c>
      <c r="AG8" s="1" t="s">
        <v>33</v>
      </c>
      <c r="AH8" s="22" t="s">
        <v>62</v>
      </c>
      <c r="AJ8" s="107" t="s">
        <v>87</v>
      </c>
      <c r="AK8" s="53" t="s">
        <v>76</v>
      </c>
      <c r="AL8" s="54" t="s">
        <v>77</v>
      </c>
      <c r="AM8" s="54" t="s">
        <v>78</v>
      </c>
      <c r="AN8" s="64" t="s">
        <v>81</v>
      </c>
      <c r="AO8" s="73" t="s">
        <v>85</v>
      </c>
    </row>
    <row r="9" spans="2:44" ht="20.399999999999999" customHeight="1">
      <c r="B9" s="99" t="s">
        <v>71</v>
      </c>
      <c r="C9" s="1" t="s">
        <v>72</v>
      </c>
      <c r="D9" s="1" t="s">
        <v>72</v>
      </c>
      <c r="E9" s="1" t="s">
        <v>72</v>
      </c>
      <c r="F9" s="1" t="s">
        <v>72</v>
      </c>
      <c r="G9" s="1" t="s">
        <v>72</v>
      </c>
      <c r="H9" s="103"/>
      <c r="I9" s="1" t="s">
        <v>72</v>
      </c>
      <c r="J9" s="1" t="s">
        <v>72</v>
      </c>
      <c r="K9" s="1" t="s">
        <v>72</v>
      </c>
      <c r="L9" s="1" t="s">
        <v>72</v>
      </c>
      <c r="M9" s="1" t="s">
        <v>72</v>
      </c>
      <c r="N9" s="1" t="s">
        <v>72</v>
      </c>
      <c r="O9" s="103"/>
      <c r="P9" s="1" t="s">
        <v>72</v>
      </c>
      <c r="Q9" s="1" t="s">
        <v>72</v>
      </c>
      <c r="R9" s="1" t="s">
        <v>72</v>
      </c>
      <c r="S9" s="1" t="s">
        <v>72</v>
      </c>
      <c r="T9" s="1" t="s">
        <v>72</v>
      </c>
      <c r="U9" s="1" t="s">
        <v>72</v>
      </c>
      <c r="V9" s="103"/>
      <c r="W9" s="1" t="s">
        <v>72</v>
      </c>
      <c r="X9" s="1" t="s">
        <v>72</v>
      </c>
      <c r="Y9" s="1" t="s">
        <v>72</v>
      </c>
      <c r="Z9" s="1" t="s">
        <v>72</v>
      </c>
      <c r="AA9" s="1" t="s">
        <v>72</v>
      </c>
      <c r="AB9" s="1" t="s">
        <v>72</v>
      </c>
      <c r="AC9" s="103"/>
      <c r="AD9" s="1" t="s">
        <v>72</v>
      </c>
      <c r="AE9" s="1" t="s">
        <v>72</v>
      </c>
      <c r="AF9" s="1" t="s">
        <v>72</v>
      </c>
      <c r="AG9" s="1"/>
      <c r="AH9" s="3">
        <f>COUNTA(March5[[#This Row],[1]:[ ]])</f>
        <v>26</v>
      </c>
      <c r="AJ9" s="76"/>
      <c r="AK9" s="76"/>
      <c r="AL9" s="76"/>
      <c r="AM9" s="76"/>
      <c r="AN9" s="76"/>
      <c r="AO9" s="76">
        <f>$AC$5*June[[#This Row],[Working Day]]</f>
        <v>0</v>
      </c>
    </row>
    <row r="10" spans="2:44" ht="20.399999999999999" customHeight="1">
      <c r="B10" s="99" t="s">
        <v>64</v>
      </c>
      <c r="C10" s="1" t="s">
        <v>72</v>
      </c>
      <c r="D10" s="1" t="s">
        <v>72</v>
      </c>
      <c r="E10" s="1" t="s">
        <v>72</v>
      </c>
      <c r="F10" s="1" t="s">
        <v>72</v>
      </c>
      <c r="G10" s="1" t="s">
        <v>72</v>
      </c>
      <c r="H10" s="103"/>
      <c r="I10" s="1" t="s">
        <v>72</v>
      </c>
      <c r="J10" s="1" t="s">
        <v>72</v>
      </c>
      <c r="K10" s="1" t="s">
        <v>72</v>
      </c>
      <c r="L10" s="1" t="s">
        <v>72</v>
      </c>
      <c r="M10" s="1" t="s">
        <v>72</v>
      </c>
      <c r="N10" s="1" t="s">
        <v>72</v>
      </c>
      <c r="O10" s="103"/>
      <c r="P10" s="1" t="s">
        <v>72</v>
      </c>
      <c r="Q10" s="1" t="s">
        <v>72</v>
      </c>
      <c r="R10" s="1" t="s">
        <v>72</v>
      </c>
      <c r="S10" s="1" t="s">
        <v>72</v>
      </c>
      <c r="T10" s="1" t="s">
        <v>72</v>
      </c>
      <c r="U10" s="1" t="s">
        <v>72</v>
      </c>
      <c r="V10" s="103"/>
      <c r="W10" s="1" t="s">
        <v>72</v>
      </c>
      <c r="X10" s="1" t="s">
        <v>72</v>
      </c>
      <c r="Y10" s="1" t="s">
        <v>72</v>
      </c>
      <c r="Z10" s="1" t="s">
        <v>72</v>
      </c>
      <c r="AA10" s="1" t="s">
        <v>72</v>
      </c>
      <c r="AB10" s="1" t="s">
        <v>72</v>
      </c>
      <c r="AC10" s="103"/>
      <c r="AD10" s="1" t="s">
        <v>72</v>
      </c>
      <c r="AE10" s="1" t="s">
        <v>72</v>
      </c>
      <c r="AF10" s="1" t="s">
        <v>72</v>
      </c>
      <c r="AG10" s="1"/>
      <c r="AH10" s="3">
        <f>COUNTA(March5[[#This Row],[1]:[ ]])</f>
        <v>26</v>
      </c>
      <c r="AJ10" s="76">
        <f>SUM(AK10:AO10)</f>
        <v>5720000</v>
      </c>
      <c r="AK10" s="76">
        <v>5150000</v>
      </c>
      <c r="AL10" s="76">
        <f>March5[[#This Row],[Total days]]*AH5</f>
        <v>520000</v>
      </c>
      <c r="AM10" s="76">
        <v>50000</v>
      </c>
      <c r="AN10" s="76"/>
      <c r="AO10" s="76">
        <f>$AC$5*June[[#This Row],[Working Day]]</f>
        <v>0</v>
      </c>
    </row>
    <row r="11" spans="2:44" ht="20.399999999999999" customHeight="1">
      <c r="B11" s="100" t="s">
        <v>94</v>
      </c>
      <c r="C11" s="1" t="s">
        <v>72</v>
      </c>
      <c r="D11" s="1" t="s">
        <v>72</v>
      </c>
      <c r="E11" s="1" t="s">
        <v>72</v>
      </c>
      <c r="F11" s="1" t="s">
        <v>72</v>
      </c>
      <c r="G11" s="1" t="s">
        <v>72</v>
      </c>
      <c r="H11" s="103"/>
      <c r="I11" s="1" t="s">
        <v>72</v>
      </c>
      <c r="J11" s="1" t="s">
        <v>72</v>
      </c>
      <c r="K11" s="1" t="s">
        <v>72</v>
      </c>
      <c r="L11" s="1" t="s">
        <v>72</v>
      </c>
      <c r="M11" s="1" t="s">
        <v>72</v>
      </c>
      <c r="N11" s="1" t="s">
        <v>72</v>
      </c>
      <c r="O11" s="103"/>
      <c r="P11" s="1" t="s">
        <v>72</v>
      </c>
      <c r="Q11" s="1" t="s">
        <v>72</v>
      </c>
      <c r="R11" s="1" t="s">
        <v>72</v>
      </c>
      <c r="S11" s="1" t="s">
        <v>72</v>
      </c>
      <c r="T11" s="1" t="s">
        <v>72</v>
      </c>
      <c r="U11" s="1" t="s">
        <v>72</v>
      </c>
      <c r="V11" s="103"/>
      <c r="W11" s="1" t="s">
        <v>72</v>
      </c>
      <c r="X11" s="1" t="s">
        <v>72</v>
      </c>
      <c r="Y11" s="1" t="s">
        <v>72</v>
      </c>
      <c r="Z11" s="1" t="s">
        <v>72</v>
      </c>
      <c r="AA11" s="1" t="s">
        <v>72</v>
      </c>
      <c r="AB11" s="1" t="s">
        <v>72</v>
      </c>
      <c r="AC11" s="103"/>
      <c r="AD11" s="1" t="s">
        <v>72</v>
      </c>
      <c r="AE11" s="1" t="s">
        <v>72</v>
      </c>
      <c r="AF11" s="1" t="s">
        <v>72</v>
      </c>
      <c r="AG11" s="1"/>
      <c r="AH11" s="3">
        <f>COUNTA(March5[[#This Row],[1]:[ ]])</f>
        <v>26</v>
      </c>
      <c r="AJ11" s="76">
        <f t="shared" ref="AJ11:AJ17" si="0">SUM(AK11:AO11)</f>
        <v>5070000</v>
      </c>
      <c r="AK11" s="76">
        <v>4500000</v>
      </c>
      <c r="AL11" s="76">
        <f>March5[[#This Row],[Total days]]*AH5</f>
        <v>520000</v>
      </c>
      <c r="AM11" s="76">
        <v>50000</v>
      </c>
      <c r="AN11" s="76"/>
      <c r="AO11" s="76">
        <f>$AC$5*June[[#This Row],[Working Day]]</f>
        <v>0</v>
      </c>
    </row>
    <row r="12" spans="2:44" ht="20.399999999999999" customHeight="1">
      <c r="B12" s="100" t="s">
        <v>95</v>
      </c>
      <c r="C12" s="1" t="s">
        <v>72</v>
      </c>
      <c r="D12" s="1" t="s">
        <v>72</v>
      </c>
      <c r="E12" s="1" t="s">
        <v>72</v>
      </c>
      <c r="F12" s="1" t="s">
        <v>72</v>
      </c>
      <c r="G12" s="1" t="s">
        <v>72</v>
      </c>
      <c r="H12" s="103"/>
      <c r="I12" s="1" t="s">
        <v>72</v>
      </c>
      <c r="J12" s="1" t="s">
        <v>72</v>
      </c>
      <c r="K12" s="1" t="s">
        <v>72</v>
      </c>
      <c r="L12" s="1" t="s">
        <v>72</v>
      </c>
      <c r="M12" s="1" t="s">
        <v>72</v>
      </c>
      <c r="N12" s="1" t="s">
        <v>72</v>
      </c>
      <c r="O12" s="103"/>
      <c r="P12" s="1" t="s">
        <v>72</v>
      </c>
      <c r="Q12" s="1" t="s">
        <v>72</v>
      </c>
      <c r="R12" s="1" t="s">
        <v>72</v>
      </c>
      <c r="S12" s="1" t="s">
        <v>72</v>
      </c>
      <c r="T12" s="1" t="s">
        <v>72</v>
      </c>
      <c r="U12" s="1" t="s">
        <v>72</v>
      </c>
      <c r="V12" s="103"/>
      <c r="W12" s="1" t="s">
        <v>72</v>
      </c>
      <c r="X12" s="1" t="s">
        <v>72</v>
      </c>
      <c r="Y12" s="1" t="s">
        <v>72</v>
      </c>
      <c r="Z12" s="1" t="s">
        <v>72</v>
      </c>
      <c r="AA12" s="1" t="s">
        <v>72</v>
      </c>
      <c r="AB12" s="1" t="s">
        <v>72</v>
      </c>
      <c r="AC12" s="103"/>
      <c r="AD12" s="1" t="s">
        <v>72</v>
      </c>
      <c r="AE12" s="1" t="s">
        <v>72</v>
      </c>
      <c r="AF12" s="1" t="s">
        <v>72</v>
      </c>
      <c r="AG12" s="1"/>
      <c r="AH12" s="3">
        <f>COUNTA(March5[[#This Row],[1]:[ ]])</f>
        <v>26</v>
      </c>
      <c r="AJ12" s="76">
        <f t="shared" si="0"/>
        <v>3520000</v>
      </c>
      <c r="AK12" s="76">
        <v>3000000</v>
      </c>
      <c r="AL12" s="76">
        <f>March5[[#This Row],[Total days]]*AH5</f>
        <v>520000</v>
      </c>
      <c r="AM12" s="76"/>
      <c r="AN12" s="76"/>
      <c r="AO12" s="76">
        <f>$AC$5*June[[#This Row],[Working Day]]</f>
        <v>0</v>
      </c>
    </row>
    <row r="13" spans="2:44" ht="20.399999999999999" customHeight="1">
      <c r="B13" s="100" t="s">
        <v>96</v>
      </c>
      <c r="C13" s="1" t="s">
        <v>72</v>
      </c>
      <c r="D13" s="1" t="s">
        <v>72</v>
      </c>
      <c r="E13" s="1" t="s">
        <v>72</v>
      </c>
      <c r="F13" s="1" t="s">
        <v>72</v>
      </c>
      <c r="G13" s="1" t="s">
        <v>72</v>
      </c>
      <c r="H13" s="103"/>
      <c r="I13" s="1" t="s">
        <v>72</v>
      </c>
      <c r="J13" s="1" t="s">
        <v>72</v>
      </c>
      <c r="K13" s="1" t="s">
        <v>72</v>
      </c>
      <c r="L13" s="1" t="s">
        <v>72</v>
      </c>
      <c r="M13" s="1" t="s">
        <v>72</v>
      </c>
      <c r="N13" s="1" t="s">
        <v>72</v>
      </c>
      <c r="O13" s="103"/>
      <c r="P13" s="1"/>
      <c r="Q13" s="1"/>
      <c r="R13" s="1"/>
      <c r="S13" s="1"/>
      <c r="T13" s="1"/>
      <c r="U13" s="1"/>
      <c r="V13" s="103"/>
      <c r="W13" s="1"/>
      <c r="X13" s="1"/>
      <c r="Y13" s="1"/>
      <c r="Z13" s="1"/>
      <c r="AA13" s="1"/>
      <c r="AB13" s="1"/>
      <c r="AC13" s="103"/>
      <c r="AD13" s="1"/>
      <c r="AE13" s="1"/>
      <c r="AF13" s="1"/>
      <c r="AG13" s="1"/>
      <c r="AH13" s="3">
        <f>COUNTA(March5[[#This Row],[1]:[ ]])</f>
        <v>11</v>
      </c>
      <c r="AJ13" s="76">
        <f>SUM(AK13:AO13)</f>
        <v>2123846.153846154</v>
      </c>
      <c r="AK13" s="76">
        <f>(4500000*March5[[#This Row],[Total days]])/AH9</f>
        <v>1903846.1538461538</v>
      </c>
      <c r="AL13" s="76">
        <f>March5[[#This Row],[Total days]]*AH5</f>
        <v>220000</v>
      </c>
      <c r="AM13" s="76"/>
      <c r="AN13" s="76"/>
      <c r="AO13" s="76">
        <f>$AC$5*June[[#This Row],[Working Day]]</f>
        <v>0</v>
      </c>
    </row>
    <row r="14" spans="2:44" ht="20.399999999999999" customHeight="1">
      <c r="B14" s="100" t="s">
        <v>97</v>
      </c>
      <c r="C14" s="1" t="s">
        <v>72</v>
      </c>
      <c r="D14" s="1" t="s">
        <v>72</v>
      </c>
      <c r="E14" s="1" t="s">
        <v>72</v>
      </c>
      <c r="F14" s="1" t="s">
        <v>72</v>
      </c>
      <c r="G14" s="1" t="s">
        <v>72</v>
      </c>
      <c r="H14" s="103"/>
      <c r="I14" s="1" t="s">
        <v>72</v>
      </c>
      <c r="J14" s="1" t="s">
        <v>72</v>
      </c>
      <c r="K14" s="1" t="s">
        <v>72</v>
      </c>
      <c r="L14" s="1" t="s">
        <v>72</v>
      </c>
      <c r="M14" s="1" t="s">
        <v>72</v>
      </c>
      <c r="N14" s="1" t="s">
        <v>72</v>
      </c>
      <c r="O14" s="104"/>
      <c r="V14" s="104"/>
      <c r="AC14" s="104"/>
      <c r="AG14" s="32"/>
      <c r="AH14" s="32">
        <f>COUNTA(March5[[#This Row],[1]:[ ]])</f>
        <v>11</v>
      </c>
      <c r="AJ14" s="76">
        <f t="shared" ref="AJ14" si="1">SUM(AK14:AO14)</f>
        <v>2123846.153846154</v>
      </c>
      <c r="AK14" s="76">
        <f>(4500000*March5[[#This Row],[Total days]])/AH9</f>
        <v>1903846.1538461538</v>
      </c>
      <c r="AL14" s="76">
        <f>March5[[#This Row],[Total days]]*AH5</f>
        <v>220000</v>
      </c>
      <c r="AM14" s="76"/>
      <c r="AN14" s="76"/>
      <c r="AO14" s="76">
        <f>$AC$5*June[[#This Row],[Working Day]]</f>
        <v>0</v>
      </c>
    </row>
    <row r="15" spans="2:44" ht="20.399999999999999" customHeight="1">
      <c r="B15" s="100" t="s">
        <v>98</v>
      </c>
      <c r="C15" s="1" t="s">
        <v>72</v>
      </c>
      <c r="D15" s="1" t="s">
        <v>72</v>
      </c>
      <c r="E15" s="1" t="s">
        <v>72</v>
      </c>
      <c r="F15" s="1" t="s">
        <v>72</v>
      </c>
      <c r="G15" s="1" t="s">
        <v>72</v>
      </c>
      <c r="H15" s="103"/>
      <c r="I15" s="1" t="s">
        <v>72</v>
      </c>
      <c r="J15" s="1" t="s">
        <v>72</v>
      </c>
      <c r="K15" s="1" t="s">
        <v>72</v>
      </c>
      <c r="L15" s="1" t="s">
        <v>72</v>
      </c>
      <c r="M15" s="1"/>
      <c r="N15" s="1"/>
      <c r="O15" s="103"/>
      <c r="P15" s="1" t="s">
        <v>72</v>
      </c>
      <c r="Q15" s="1" t="s">
        <v>72</v>
      </c>
      <c r="R15" s="1" t="s">
        <v>72</v>
      </c>
      <c r="S15" s="1" t="s">
        <v>72</v>
      </c>
      <c r="T15" s="1" t="s">
        <v>72</v>
      </c>
      <c r="U15" s="1" t="s">
        <v>72</v>
      </c>
      <c r="V15" s="103"/>
      <c r="W15" s="1" t="s">
        <v>72</v>
      </c>
      <c r="X15" s="1" t="s">
        <v>72</v>
      </c>
      <c r="Y15" s="1" t="s">
        <v>72</v>
      </c>
      <c r="Z15" s="1" t="s">
        <v>72</v>
      </c>
      <c r="AA15" s="1"/>
      <c r="AB15" s="1"/>
      <c r="AC15" s="103"/>
      <c r="AD15" s="1" t="s">
        <v>72</v>
      </c>
      <c r="AE15" s="1" t="s">
        <v>72</v>
      </c>
      <c r="AF15" s="1" t="s">
        <v>72</v>
      </c>
      <c r="AG15" s="32"/>
      <c r="AH15" s="32">
        <f>COUNTA(March5[[#This Row],[1]:[ ]])</f>
        <v>22</v>
      </c>
      <c r="AJ15" s="76">
        <f>SUM(AK15:AO15)</f>
        <v>4720769.230769231</v>
      </c>
      <c r="AK15" s="76">
        <f>(5000000*March5[[#This Row],[Total days]])/AH9</f>
        <v>4230769.230769231</v>
      </c>
      <c r="AL15" s="76">
        <f>March5[[#This Row],[Total days]]*AH5</f>
        <v>440000</v>
      </c>
      <c r="AM15" s="76">
        <v>50000</v>
      </c>
      <c r="AN15" s="76"/>
      <c r="AO15" s="76">
        <f>$AC$5*June[[#This Row],[Working Day]]</f>
        <v>0</v>
      </c>
    </row>
    <row r="16" spans="2:44" ht="20.399999999999999" customHeight="1">
      <c r="B16" s="100"/>
      <c r="H16" s="104"/>
      <c r="O16" s="104"/>
      <c r="V16" s="104"/>
      <c r="AC16" s="104"/>
      <c r="AG16" s="32"/>
      <c r="AH16" s="32">
        <f>COUNTA(March5[[#This Row],[1]:[ ]])</f>
        <v>0</v>
      </c>
      <c r="AJ16" s="76">
        <f t="shared" si="0"/>
        <v>0</v>
      </c>
      <c r="AK16" s="76"/>
      <c r="AL16" s="76"/>
      <c r="AM16" s="76"/>
      <c r="AN16" s="76"/>
      <c r="AO16" s="76">
        <f>$AC$5*June[[#This Row],[Working Day]]</f>
        <v>0</v>
      </c>
    </row>
    <row r="17" spans="2:41" ht="20.399999999999999" customHeight="1">
      <c r="B17" s="100" t="str">
        <f>MonthName&amp;" Total"</f>
        <v xml:space="preserve"> Total</v>
      </c>
      <c r="C17" s="4">
        <f>SUBTOTAL(103,March5[1])</f>
        <v>7</v>
      </c>
      <c r="D17" s="4">
        <f>SUBTOTAL(103,March5[2])</f>
        <v>7</v>
      </c>
      <c r="E17" s="4">
        <f>SUBTOTAL(103,March5[3])</f>
        <v>7</v>
      </c>
      <c r="F17" s="4">
        <f>SUBTOTAL(103,March5[4])</f>
        <v>7</v>
      </c>
      <c r="G17" s="4">
        <f>SUBTOTAL(103,March5[5])</f>
        <v>7</v>
      </c>
      <c r="H17" s="105">
        <f>SUBTOTAL(103,March5[6])</f>
        <v>0</v>
      </c>
      <c r="I17" s="4">
        <f>SUBTOTAL(103,March5[7])</f>
        <v>7</v>
      </c>
      <c r="J17" s="4">
        <f>SUBTOTAL(103,March5[8])</f>
        <v>7</v>
      </c>
      <c r="K17" s="4">
        <f>SUBTOTAL(103,March5[9])</f>
        <v>7</v>
      </c>
      <c r="L17" s="4">
        <f>SUBTOTAL(103,March5[10])</f>
        <v>7</v>
      </c>
      <c r="M17" s="4">
        <f>SUBTOTAL(103,March5[11])</f>
        <v>6</v>
      </c>
      <c r="N17" s="4">
        <f>SUBTOTAL(103,March5[12])</f>
        <v>6</v>
      </c>
      <c r="O17" s="105">
        <f>SUBTOTAL(103,March5[13])</f>
        <v>0</v>
      </c>
      <c r="P17" s="4">
        <f>SUBTOTAL(103,March5[14])</f>
        <v>5</v>
      </c>
      <c r="Q17" s="4">
        <f>SUBTOTAL(103,March5[15])</f>
        <v>5</v>
      </c>
      <c r="R17" s="4">
        <f>SUBTOTAL(103,March5[16])</f>
        <v>5</v>
      </c>
      <c r="S17" s="4">
        <f>SUBTOTAL(103,March5[17])</f>
        <v>5</v>
      </c>
      <c r="T17" s="4">
        <f>SUBTOTAL(103,March5[18])</f>
        <v>5</v>
      </c>
      <c r="U17" s="4">
        <f>SUBTOTAL(103,March5[19])</f>
        <v>5</v>
      </c>
      <c r="V17" s="105">
        <f>SUBTOTAL(103,March5[20])</f>
        <v>0</v>
      </c>
      <c r="W17" s="4">
        <f>SUBTOTAL(103,March5[21])</f>
        <v>5</v>
      </c>
      <c r="X17" s="4">
        <f>SUBTOTAL(103,March5[22])</f>
        <v>5</v>
      </c>
      <c r="Y17" s="4">
        <f>SUBTOTAL(103,March5[23])</f>
        <v>5</v>
      </c>
      <c r="Z17" s="4">
        <f>SUBTOTAL(103,March5[24])</f>
        <v>5</v>
      </c>
      <c r="AA17" s="4">
        <f>SUBTOTAL(103,March5[25])</f>
        <v>4</v>
      </c>
      <c r="AB17" s="4">
        <f>SUBTOTAL(103,March5[26])</f>
        <v>4</v>
      </c>
      <c r="AC17" s="105">
        <f>SUBTOTAL(103,March5[27])</f>
        <v>0</v>
      </c>
      <c r="AD17" s="4">
        <f>SUBTOTAL(103,March5[28])</f>
        <v>5</v>
      </c>
      <c r="AE17" s="4">
        <f>SUBTOTAL(103,March5[29])</f>
        <v>5</v>
      </c>
      <c r="AF17" s="4">
        <f>SUBTOTAL(109,March5[30])</f>
        <v>0</v>
      </c>
      <c r="AG17" s="4">
        <f>SUBTOTAL(109,March5[[ ]])</f>
        <v>0</v>
      </c>
      <c r="AH17" s="4">
        <f>SUBTOTAL(109,March5[Total days])</f>
        <v>148</v>
      </c>
      <c r="AJ17" s="76">
        <f t="shared" si="0"/>
        <v>0</v>
      </c>
      <c r="AK17" s="76"/>
      <c r="AL17" s="76"/>
      <c r="AM17" s="76"/>
      <c r="AN17" s="76"/>
      <c r="AO17" s="76">
        <f>$AC$5*June[[#This Row],[Working Day]]</f>
        <v>0</v>
      </c>
    </row>
    <row r="18" spans="2:41" ht="24" customHeight="1">
      <c r="AJ18" s="79">
        <f>SUM(AJ9:AJ17)</f>
        <v>23278461.53846154</v>
      </c>
      <c r="AK18" s="74"/>
      <c r="AL18" s="74"/>
      <c r="AM18" s="74"/>
      <c r="AN18" s="74"/>
      <c r="AO18" s="74"/>
    </row>
  </sheetData>
  <mergeCells count="6">
    <mergeCell ref="C6:AG6"/>
    <mergeCell ref="D4:F4"/>
    <mergeCell ref="H4:J4"/>
    <mergeCell ref="L4:M4"/>
    <mergeCell ref="O4:Q4"/>
    <mergeCell ref="S4:U4"/>
  </mergeCells>
  <phoneticPr fontId="37" type="noConversion"/>
  <conditionalFormatting sqref="C9:AG16">
    <cfRule type="expression" priority="1" stopIfTrue="1">
      <formula>C9=""</formula>
    </cfRule>
    <cfRule type="expression" dxfId="1054" priority="2" stopIfTrue="1">
      <formula>C9=KeyCustom2</formula>
    </cfRule>
    <cfRule type="expression" dxfId="1053" priority="3" stopIfTrue="1">
      <formula>C9=KeyCustom1</formula>
    </cfRule>
    <cfRule type="expression" dxfId="1052" priority="4" stopIfTrue="1">
      <formula>C9=KeySick</formula>
    </cfRule>
    <cfRule type="expression" dxfId="1051" priority="5" stopIfTrue="1">
      <formula>C9=KeyPersonal</formula>
    </cfRule>
    <cfRule type="expression" dxfId="1050" priority="6" stopIfTrue="1">
      <formula>C9=KeyVacation</formula>
    </cfRule>
  </conditionalFormatting>
  <conditionalFormatting sqref="AH9:AH16">
    <cfRule type="dataBar" priority="7">
      <dataBar>
        <cfvo type="min"/>
        <cfvo type="formula" val="DATEDIF(DATE(CalendarYear,2,1),DATE(CalendarYear,3,1),&quot;d&quot;)"/>
        <color theme="2" tint="-0.249977111117893"/>
      </dataBar>
      <extLst>
        <ext xmlns:x14="http://schemas.microsoft.com/office/spreadsheetml/2009/9/main" uri="{B025F937-C7B1-47D3-B67F-A62EFF666E3E}">
          <x14:id>{C6C51CE4-E5A5-6548-B677-75BFC57A1AE7}</x14:id>
        </ext>
      </extLst>
    </cfRule>
  </conditionalFormatting>
  <dataValidations count="15">
    <dataValidation allowBlank="1" showInputMessage="1" showErrorMessage="1" prompt="Automatically updated year based on year entered in January worksheet" sqref="AH6"/>
    <dataValidation allowBlank="1" showInputMessage="1" showErrorMessage="1" prompt="Automatically calculates total number of days an employee was absent this month in this column" sqref="AH8"/>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dataValidation allowBlank="1" showInputMessage="1" showErrorMessage="1" prompt="Automatically updated title is in this cell. To modify the title, update B1 on January worksheet" sqref="B2"/>
    <dataValidation allowBlank="1" showInputMessage="1" showErrorMessage="1" prompt="The letter &quot;V&quot; indicates absence due to vacation" sqref="C4"/>
    <dataValidation allowBlank="1" showInputMessage="1" showErrorMessage="1" prompt="The letter &quot;P&quot; indicates absence due to personal reasons" sqref="G4"/>
    <dataValidation allowBlank="1" showInputMessage="1" showErrorMessage="1" prompt="The letter &quot;S&quot; indicates absence due to illness" sqref="K4"/>
    <dataValidation allowBlank="1" showInputMessage="1" showErrorMessage="1" prompt="Enter a letter and customize the label at right to add another key item" sqref="N4 R4"/>
    <dataValidation allowBlank="1" showInputMessage="1" showErrorMessage="1" prompt="Enter a label to describe the custom key at left" sqref="O4:Q4 S4:U4"/>
    <dataValidation allowBlank="1" showInputMessage="1" showErrorMessage="1" prompt="Month name for this absence schedule is in this cell. Absence totals for this month are in last cell of the table. Select employee names in table column B" sqref="B2"/>
    <dataValidation allowBlank="1" showInputMessage="1" showErrorMessage="1" prompt="Days of the month in this row are automatically generated. Enter an employee's absence and absence type in each column for each day of the month. Blank means no absence" sqref="C8"/>
    <dataValidation allowBlank="1" showInputMessage="1" showErrorMessage="1" prompt="Weekdays in this row are automatically updated for the month according to the year in AH4. Each day of the month is a column to note an employee's absence and absence type" sqref="C7"/>
    <dataValidation allowBlank="1" showInputMessage="1" showErrorMessage="1" prompt="Track March absence in this worksheet" sqref="A1"/>
    <dataValidation allowBlank="1" showInputMessage="1" showErrorMessage="1" prompt="This row defines the keys used in the table: cell C4 is Vacation, G4 is Personal, &amp; K4 is Sick leave. Cells N4 &amp; R4 are customizable " sqref="B4"/>
    <dataValidation allowBlank="1" showInputMessage="1" showErrorMessage="1" prompt="Title of the worksheet is in this cell. " sqref="B1"/>
  </dataValidations>
  <printOptions horizontalCentered="1"/>
  <pageMargins left="0.25" right="0.25" top="0.75" bottom="0.75" header="0.3" footer="0.3"/>
  <pageSetup scale="72" fitToHeight="0" orientation="landscape" verticalDpi="4294967293" r:id="rId1"/>
  <headerFooter differentFirst="1">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C6C51CE4-E5A5-6548-B677-75BFC57A1AE7}">
            <x14:dataBar minLength="0" maxLength="100">
              <x14:cfvo type="autoMin"/>
              <x14:cfvo type="formula">
                <xm:f>DATEDIF(DATE(CalendarYear,2,1),DATE(CalendarYear,3,1),"d")</xm:f>
              </x14:cfvo>
              <x14:negativeFillColor rgb="FFFF0000"/>
              <x14:axisColor rgb="FF000000"/>
            </x14:dataBar>
          </x14:cfRule>
          <xm:sqref>AH9:AH16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names'!$C$5:$C$23</xm:f>
          </x14:formula1>
          <xm:sqref>B9:B10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B1:AY22"/>
  <sheetViews>
    <sheetView showGridLines="0" zoomScale="80" zoomScaleNormal="80" workbookViewId="0">
      <selection activeCell="AJ11" sqref="AJ11"/>
    </sheetView>
  </sheetViews>
  <sheetFormatPr defaultColWidth="8.77734375" defaultRowHeight="30" customHeight="1"/>
  <cols>
    <col min="1" max="1" width="0.77734375" customWidth="1"/>
    <col min="2" max="2" width="23" customWidth="1"/>
    <col min="3" max="33" width="4.6640625" customWidth="1"/>
    <col min="34" max="34" width="11.5546875" customWidth="1"/>
    <col min="35" max="35" width="2.6640625" customWidth="1"/>
    <col min="36" max="39" width="13.44140625" customWidth="1"/>
    <col min="40" max="40" width="12" customWidth="1"/>
    <col min="41" max="41" width="13.44140625" customWidth="1"/>
    <col min="42" max="42" width="2.6640625" customWidth="1"/>
    <col min="43" max="43" width="13.109375" bestFit="1" customWidth="1"/>
    <col min="44" max="44" width="5.21875" customWidth="1"/>
    <col min="45" max="45" width="13.109375" customWidth="1"/>
    <col min="46" max="46" width="15" style="51" bestFit="1" customWidth="1"/>
    <col min="47" max="51" width="8.77734375" style="51"/>
  </cols>
  <sheetData>
    <row r="1" spans="2:46" ht="33" customHeight="1">
      <c r="B1" s="24" t="s">
        <v>53</v>
      </c>
    </row>
    <row r="2" spans="2:46" ht="49.8" customHeight="1">
      <c r="B2" s="98" t="s">
        <v>45</v>
      </c>
    </row>
    <row r="3" spans="2:46" ht="15" customHeight="1" thickBot="1">
      <c r="B3" s="90"/>
    </row>
    <row r="4" spans="2:46" ht="12" customHeight="1">
      <c r="B4" s="92"/>
      <c r="C4" s="93"/>
      <c r="D4" s="285"/>
      <c r="E4" s="285"/>
      <c r="F4" s="285"/>
      <c r="G4" s="94"/>
      <c r="H4" s="285"/>
      <c r="I4" s="285"/>
      <c r="J4" s="285"/>
      <c r="K4" s="95"/>
      <c r="L4" s="285"/>
      <c r="M4" s="285"/>
      <c r="N4" s="96"/>
      <c r="O4" s="285"/>
      <c r="P4" s="285"/>
      <c r="Q4" s="285"/>
      <c r="R4" s="97"/>
      <c r="S4" s="285"/>
      <c r="T4" s="285"/>
      <c r="U4" s="285"/>
      <c r="AH4" s="77" t="s">
        <v>89</v>
      </c>
    </row>
    <row r="5" spans="2:46" ht="15" thickBot="1">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78">
        <v>20000</v>
      </c>
    </row>
    <row r="6" spans="2:46" ht="24.6" customHeight="1">
      <c r="B6" s="6"/>
      <c r="C6" s="283" t="s">
        <v>55</v>
      </c>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6">
        <f ca="1">CalendarYear</f>
        <v>2026</v>
      </c>
    </row>
    <row r="7" spans="2:46" ht="30" customHeight="1">
      <c r="B7" s="6"/>
      <c r="C7" s="21" t="str">
        <f ca="1">TEXT(WEEKDAY(DATE(CalendarYear,5,1),1),"aaa")</f>
        <v>Fri</v>
      </c>
      <c r="D7" s="21" t="str">
        <f ca="1">TEXT(WEEKDAY(DATE(CalendarYear,5,2),1),"aaa")</f>
        <v>Sat</v>
      </c>
      <c r="E7" s="21" t="str">
        <f ca="1">TEXT(WEEKDAY(DATE(CalendarYear,5,3),1),"aaa")</f>
        <v>Sun</v>
      </c>
      <c r="F7" s="21" t="str">
        <f ca="1">TEXT(WEEKDAY(DATE(CalendarYear,5,4),1),"aaa")</f>
        <v>Mon</v>
      </c>
      <c r="G7" s="21" t="str">
        <f ca="1">TEXT(WEEKDAY(DATE(CalendarYear,5,5),1),"aaa")</f>
        <v>Tue</v>
      </c>
      <c r="H7" s="21" t="str">
        <f ca="1">TEXT(WEEKDAY(DATE(CalendarYear,5,6),1),"aaa")</f>
        <v>Wed</v>
      </c>
      <c r="I7" s="21" t="str">
        <f ca="1">TEXT(WEEKDAY(DATE(CalendarYear,5,7),1),"aaa")</f>
        <v>Thu</v>
      </c>
      <c r="J7" s="21" t="str">
        <f ca="1">TEXT(WEEKDAY(DATE(CalendarYear,5,8),1),"aaa")</f>
        <v>Fri</v>
      </c>
      <c r="K7" s="21" t="str">
        <f ca="1">TEXT(WEEKDAY(DATE(CalendarYear,5,9),1),"aaa")</f>
        <v>Sat</v>
      </c>
      <c r="L7" s="21" t="str">
        <f ca="1">TEXT(WEEKDAY(DATE(CalendarYear,5,10),1),"aaa")</f>
        <v>Sun</v>
      </c>
      <c r="M7" s="21" t="str">
        <f ca="1">TEXT(WEEKDAY(DATE(CalendarYear,5,11),1),"aaa")</f>
        <v>Mon</v>
      </c>
      <c r="N7" s="21" t="str">
        <f ca="1">TEXT(WEEKDAY(DATE(CalendarYear,5,12),1),"aaa")</f>
        <v>Tue</v>
      </c>
      <c r="O7" s="21" t="str">
        <f ca="1">TEXT(WEEKDAY(DATE(CalendarYear,5,13),1),"aaa")</f>
        <v>Wed</v>
      </c>
      <c r="P7" s="21" t="str">
        <f ca="1">TEXT(WEEKDAY(DATE(CalendarYear,5,14),1),"aaa")</f>
        <v>Thu</v>
      </c>
      <c r="Q7" s="21" t="str">
        <f ca="1">TEXT(WEEKDAY(DATE(CalendarYear,5,15),1),"aaa")</f>
        <v>Fri</v>
      </c>
      <c r="R7" s="21" t="str">
        <f ca="1">TEXT(WEEKDAY(DATE(CalendarYear,5,16),1),"aaa")</f>
        <v>Sat</v>
      </c>
      <c r="S7" s="21" t="str">
        <f ca="1">TEXT(WEEKDAY(DATE(CalendarYear,5,17),1),"aaa")</f>
        <v>Sun</v>
      </c>
      <c r="T7" s="21" t="str">
        <f ca="1">TEXT(WEEKDAY(DATE(CalendarYear,5,18),1),"aaa")</f>
        <v>Mon</v>
      </c>
      <c r="U7" s="21" t="str">
        <f ca="1">TEXT(WEEKDAY(DATE(CalendarYear,5,19),1),"aaa")</f>
        <v>Tue</v>
      </c>
      <c r="V7" s="21" t="str">
        <f ca="1">TEXT(WEEKDAY(DATE(CalendarYear,5,20),1),"aaa")</f>
        <v>Wed</v>
      </c>
      <c r="W7" s="21" t="str">
        <f ca="1">TEXT(WEEKDAY(DATE(CalendarYear,5,21),1),"aaa")</f>
        <v>Thu</v>
      </c>
      <c r="X7" s="21" t="str">
        <f ca="1">TEXT(WEEKDAY(DATE(CalendarYear,5,22),1),"aaa")</f>
        <v>Fri</v>
      </c>
      <c r="Y7" s="21" t="str">
        <f ca="1">TEXT(WEEKDAY(DATE(CalendarYear,5,23),1),"aaa")</f>
        <v>Sat</v>
      </c>
      <c r="Z7" s="21" t="str">
        <f ca="1">TEXT(WEEKDAY(DATE(CalendarYear,5,24),1),"aaa")</f>
        <v>Sun</v>
      </c>
      <c r="AA7" s="21" t="str">
        <f ca="1">TEXT(WEEKDAY(DATE(CalendarYear,5,25),1),"aaa")</f>
        <v>Mon</v>
      </c>
      <c r="AB7" s="21" t="str">
        <f ca="1">TEXT(WEEKDAY(DATE(CalendarYear,5,26),1),"aaa")</f>
        <v>Tue</v>
      </c>
      <c r="AC7" s="21" t="str">
        <f ca="1">TEXT(WEEKDAY(DATE(CalendarYear,5,27),1),"aaa")</f>
        <v>Wed</v>
      </c>
      <c r="AD7" s="21" t="str">
        <f ca="1">TEXT(WEEKDAY(DATE(CalendarYear,5,28),1),"aaa")</f>
        <v>Thu</v>
      </c>
      <c r="AE7" s="21" t="str">
        <f ca="1">TEXT(WEEKDAY(DATE(CalendarYear,5,29),1),"aaa")</f>
        <v>Fri</v>
      </c>
      <c r="AF7" s="21" t="str">
        <f ca="1">TEXT(WEEKDAY(DATE(CalendarYear,5,30),1),"aaa")</f>
        <v>Sat</v>
      </c>
      <c r="AG7" s="21" t="str">
        <f ca="1">TEXT(WEEKDAY(DATE(CalendarYear,5,31),1),"aaa")</f>
        <v>Sun</v>
      </c>
      <c r="AH7" s="6"/>
    </row>
    <row r="8" spans="2:46" ht="21" customHeight="1">
      <c r="B8" s="20" t="s">
        <v>61</v>
      </c>
      <c r="C8" s="1" t="s">
        <v>0</v>
      </c>
      <c r="D8" s="1" t="s">
        <v>1</v>
      </c>
      <c r="E8" s="1" t="s">
        <v>2</v>
      </c>
      <c r="F8" s="48" t="s">
        <v>3</v>
      </c>
      <c r="G8" s="1" t="s">
        <v>4</v>
      </c>
      <c r="H8" s="1" t="s">
        <v>5</v>
      </c>
      <c r="I8" s="1" t="s">
        <v>6</v>
      </c>
      <c r="J8" s="1" t="s">
        <v>7</v>
      </c>
      <c r="K8" s="1" t="s">
        <v>8</v>
      </c>
      <c r="L8" s="1" t="s">
        <v>9</v>
      </c>
      <c r="M8" s="48" t="s">
        <v>10</v>
      </c>
      <c r="N8" s="1" t="s">
        <v>11</v>
      </c>
      <c r="O8" s="1" t="s">
        <v>12</v>
      </c>
      <c r="P8" s="1" t="s">
        <v>13</v>
      </c>
      <c r="Q8" s="1" t="s">
        <v>14</v>
      </c>
      <c r="R8" s="1" t="s">
        <v>15</v>
      </c>
      <c r="S8" s="1" t="s">
        <v>16</v>
      </c>
      <c r="T8" s="48" t="s">
        <v>17</v>
      </c>
      <c r="U8" s="1" t="s">
        <v>18</v>
      </c>
      <c r="V8" s="1" t="s">
        <v>19</v>
      </c>
      <c r="W8" s="1" t="s">
        <v>20</v>
      </c>
      <c r="X8" s="1" t="s">
        <v>21</v>
      </c>
      <c r="Y8" s="1" t="s">
        <v>22</v>
      </c>
      <c r="Z8" s="1" t="s">
        <v>23</v>
      </c>
      <c r="AA8" s="48" t="s">
        <v>24</v>
      </c>
      <c r="AB8" s="1" t="s">
        <v>25</v>
      </c>
      <c r="AC8" s="1" t="s">
        <v>26</v>
      </c>
      <c r="AD8" s="1" t="s">
        <v>27</v>
      </c>
      <c r="AE8" s="1" t="s">
        <v>28</v>
      </c>
      <c r="AF8" s="1" t="s">
        <v>29</v>
      </c>
      <c r="AG8" s="1" t="s">
        <v>30</v>
      </c>
      <c r="AH8" s="1" t="s">
        <v>80</v>
      </c>
      <c r="AJ8" s="75" t="s">
        <v>87</v>
      </c>
      <c r="AK8" s="53" t="s">
        <v>76</v>
      </c>
      <c r="AL8" s="54" t="s">
        <v>77</v>
      </c>
      <c r="AM8" s="54" t="s">
        <v>78</v>
      </c>
      <c r="AN8" s="64" t="s">
        <v>81</v>
      </c>
      <c r="AO8" s="73" t="s">
        <v>85</v>
      </c>
      <c r="AQ8" s="50"/>
    </row>
    <row r="9" spans="2:46" ht="21" customHeight="1">
      <c r="B9" s="2" t="s">
        <v>71</v>
      </c>
      <c r="C9" s="1" t="s">
        <v>72</v>
      </c>
      <c r="D9" s="1" t="s">
        <v>72</v>
      </c>
      <c r="E9" s="1" t="s">
        <v>72</v>
      </c>
      <c r="F9" s="48"/>
      <c r="G9" s="1" t="s">
        <v>72</v>
      </c>
      <c r="H9" s="1" t="s">
        <v>72</v>
      </c>
      <c r="I9" s="1" t="s">
        <v>72</v>
      </c>
      <c r="J9" s="1" t="s">
        <v>72</v>
      </c>
      <c r="K9" s="1" t="s">
        <v>72</v>
      </c>
      <c r="L9" s="1" t="s">
        <v>72</v>
      </c>
      <c r="M9" s="48"/>
      <c r="N9" s="1" t="s">
        <v>72</v>
      </c>
      <c r="O9" s="1" t="s">
        <v>72</v>
      </c>
      <c r="P9" s="1" t="s">
        <v>72</v>
      </c>
      <c r="Q9" s="1" t="s">
        <v>72</v>
      </c>
      <c r="R9" s="1" t="s">
        <v>72</v>
      </c>
      <c r="S9" s="1" t="s">
        <v>72</v>
      </c>
      <c r="T9" s="48"/>
      <c r="U9" s="1" t="s">
        <v>72</v>
      </c>
      <c r="V9" s="1" t="s">
        <v>72</v>
      </c>
      <c r="W9" s="1" t="s">
        <v>72</v>
      </c>
      <c r="X9" s="1" t="s">
        <v>72</v>
      </c>
      <c r="Y9" s="1" t="s">
        <v>72</v>
      </c>
      <c r="Z9" s="1" t="s">
        <v>72</v>
      </c>
      <c r="AA9" s="48"/>
      <c r="AB9" s="1" t="s">
        <v>72</v>
      </c>
      <c r="AC9" s="1" t="s">
        <v>72</v>
      </c>
      <c r="AD9" s="1" t="s">
        <v>72</v>
      </c>
      <c r="AE9" s="1" t="s">
        <v>72</v>
      </c>
      <c r="AF9" s="1" t="s">
        <v>72</v>
      </c>
      <c r="AG9" s="1" t="s">
        <v>72</v>
      </c>
      <c r="AH9" s="3">
        <f>COUNTA(March58[[#This Row],[1]:[31]])</f>
        <v>27</v>
      </c>
      <c r="AJ9" s="76"/>
      <c r="AK9" s="76"/>
      <c r="AL9" s="76"/>
      <c r="AM9" s="76"/>
      <c r="AN9" s="76"/>
      <c r="AO9" s="76">
        <f>$AC$5*June[[#This Row],[Working Day]]</f>
        <v>0</v>
      </c>
      <c r="AQ9" s="50"/>
      <c r="AT9" s="57"/>
    </row>
    <row r="10" spans="2:46" ht="21" customHeight="1">
      <c r="B10" s="2" t="s">
        <v>64</v>
      </c>
      <c r="C10" s="1"/>
      <c r="D10" s="1" t="s">
        <v>72</v>
      </c>
      <c r="E10" s="1" t="s">
        <v>72</v>
      </c>
      <c r="F10" s="48"/>
      <c r="G10" s="1" t="s">
        <v>72</v>
      </c>
      <c r="H10" s="1" t="s">
        <v>72</v>
      </c>
      <c r="I10" s="1" t="s">
        <v>72</v>
      </c>
      <c r="J10" s="1" t="s">
        <v>72</v>
      </c>
      <c r="K10" s="86"/>
      <c r="L10" s="86"/>
      <c r="M10" s="48"/>
      <c r="N10" s="86"/>
      <c r="O10" s="86"/>
      <c r="P10" s="86"/>
      <c r="Q10" s="1" t="s">
        <v>72</v>
      </c>
      <c r="R10" s="1" t="s">
        <v>72</v>
      </c>
      <c r="S10" s="1" t="s">
        <v>72</v>
      </c>
      <c r="T10" s="48"/>
      <c r="U10" s="1" t="s">
        <v>72</v>
      </c>
      <c r="V10" s="1" t="s">
        <v>72</v>
      </c>
      <c r="W10" s="1" t="s">
        <v>72</v>
      </c>
      <c r="X10" s="1" t="s">
        <v>72</v>
      </c>
      <c r="Y10" s="1" t="s">
        <v>72</v>
      </c>
      <c r="Z10" s="1" t="s">
        <v>72</v>
      </c>
      <c r="AA10" s="48">
        <v>1</v>
      </c>
      <c r="AB10" s="1" t="s">
        <v>72</v>
      </c>
      <c r="AC10" s="1" t="s">
        <v>72</v>
      </c>
      <c r="AD10" s="1" t="s">
        <v>72</v>
      </c>
      <c r="AE10" s="1" t="s">
        <v>72</v>
      </c>
      <c r="AF10" s="1" t="s">
        <v>72</v>
      </c>
      <c r="AG10" s="1" t="s">
        <v>72</v>
      </c>
      <c r="AH10" s="3">
        <f>COUNTA(March58[[#This Row],[1]:[31]])</f>
        <v>22</v>
      </c>
      <c r="AJ10" s="76">
        <f>SUM(AK10:AO10)</f>
        <v>5640000</v>
      </c>
      <c r="AK10" s="76">
        <v>5150000</v>
      </c>
      <c r="AL10" s="76">
        <f>March58[[#This Row],[Working Day]]*AH5</f>
        <v>440000</v>
      </c>
      <c r="AM10" s="76">
        <v>50000</v>
      </c>
      <c r="AN10" s="76"/>
      <c r="AO10" s="76">
        <f>$AC$5*June[[#This Row],[Working Day]]</f>
        <v>0</v>
      </c>
      <c r="AQ10" s="50"/>
      <c r="AT10" s="57"/>
    </row>
    <row r="11" spans="2:46" ht="21" customHeight="1">
      <c r="B11" s="2" t="s">
        <v>65</v>
      </c>
      <c r="C11" s="1"/>
      <c r="D11" s="1"/>
      <c r="E11" s="1"/>
      <c r="F11" s="48"/>
      <c r="G11" s="1"/>
      <c r="H11" s="1"/>
      <c r="I11" s="1"/>
      <c r="J11" s="1"/>
      <c r="K11" s="1"/>
      <c r="L11" s="1"/>
      <c r="M11" s="48"/>
      <c r="N11" s="1" t="s">
        <v>72</v>
      </c>
      <c r="O11" s="1" t="s">
        <v>72</v>
      </c>
      <c r="P11" s="1" t="s">
        <v>72</v>
      </c>
      <c r="Q11" s="1" t="s">
        <v>72</v>
      </c>
      <c r="R11" s="1" t="s">
        <v>72</v>
      </c>
      <c r="S11" s="1" t="s">
        <v>72</v>
      </c>
      <c r="T11" s="48"/>
      <c r="U11" s="1" t="s">
        <v>72</v>
      </c>
      <c r="V11" s="1" t="s">
        <v>72</v>
      </c>
      <c r="W11" s="1" t="s">
        <v>72</v>
      </c>
      <c r="X11" s="1" t="s">
        <v>72</v>
      </c>
      <c r="Y11" s="1" t="s">
        <v>72</v>
      </c>
      <c r="Z11" s="1" t="s">
        <v>72</v>
      </c>
      <c r="AA11" s="48"/>
      <c r="AB11" s="1" t="s">
        <v>72</v>
      </c>
      <c r="AC11" s="1" t="s">
        <v>72</v>
      </c>
      <c r="AD11" s="1" t="s">
        <v>72</v>
      </c>
      <c r="AE11" s="1" t="s">
        <v>72</v>
      </c>
      <c r="AF11" s="1" t="s">
        <v>72</v>
      </c>
      <c r="AG11" s="1" t="s">
        <v>72</v>
      </c>
      <c r="AH11" s="3">
        <f>COUNTA(March58[[#This Row],[1]:[31]])</f>
        <v>18</v>
      </c>
      <c r="AJ11" s="76">
        <f t="shared" ref="AJ11:AJ20" si="0">SUM(AK11:AO11)</f>
        <v>4076666.6666666665</v>
      </c>
      <c r="AK11" s="76">
        <f>(5500000*18)/27</f>
        <v>3666666.6666666665</v>
      </c>
      <c r="AL11" s="76">
        <f>March58[[#This Row],[Working Day]]*AH5</f>
        <v>360000</v>
      </c>
      <c r="AM11" s="76">
        <v>50000</v>
      </c>
      <c r="AN11" s="76"/>
      <c r="AO11" s="76">
        <f>$AC$5*June[[#This Row],[Working Day]]</f>
        <v>0</v>
      </c>
      <c r="AQ11" s="50">
        <v>5500000</v>
      </c>
      <c r="AR11" s="51">
        <v>27</v>
      </c>
      <c r="AS11" s="52">
        <f>March58[[#This Row],[Working Day]]*AQ11/AR11</f>
        <v>3666666.6666666665</v>
      </c>
      <c r="AT11" s="52">
        <f>AS11+(March58[[#This Row],[Working Day]]*20000)</f>
        <v>4026666.6666666665</v>
      </c>
    </row>
    <row r="12" spans="2:46" ht="21" customHeight="1">
      <c r="B12" s="2" t="s">
        <v>66</v>
      </c>
      <c r="C12" s="1"/>
      <c r="D12" s="1"/>
      <c r="E12" s="1"/>
      <c r="F12" s="48"/>
      <c r="G12" s="1"/>
      <c r="H12" s="1"/>
      <c r="I12" s="1"/>
      <c r="J12" s="1"/>
      <c r="K12" s="1"/>
      <c r="L12" s="1"/>
      <c r="M12" s="48"/>
      <c r="N12" s="1" t="s">
        <v>72</v>
      </c>
      <c r="O12" s="1" t="s">
        <v>72</v>
      </c>
      <c r="P12" s="1" t="s">
        <v>72</v>
      </c>
      <c r="Q12" s="1" t="s">
        <v>72</v>
      </c>
      <c r="R12" s="86"/>
      <c r="S12" s="86"/>
      <c r="T12" s="48"/>
      <c r="U12" s="1" t="s">
        <v>72</v>
      </c>
      <c r="V12" s="1" t="s">
        <v>72</v>
      </c>
      <c r="W12" s="1" t="s">
        <v>72</v>
      </c>
      <c r="X12" s="1" t="s">
        <v>72</v>
      </c>
      <c r="Y12" s="1" t="s">
        <v>72</v>
      </c>
      <c r="Z12" s="1" t="s">
        <v>72</v>
      </c>
      <c r="AA12" s="48">
        <v>1</v>
      </c>
      <c r="AB12" s="1" t="s">
        <v>72</v>
      </c>
      <c r="AC12" s="1" t="s">
        <v>72</v>
      </c>
      <c r="AD12" s="1" t="s">
        <v>72</v>
      </c>
      <c r="AE12" s="1" t="s">
        <v>72</v>
      </c>
      <c r="AF12" s="1" t="s">
        <v>72</v>
      </c>
      <c r="AG12" s="1" t="s">
        <v>72</v>
      </c>
      <c r="AH12" s="3">
        <f>COUNTA(March58[[#This Row],[1]:[31]])</f>
        <v>17</v>
      </c>
      <c r="AJ12" s="76">
        <f t="shared" si="0"/>
        <v>2593703.7037037038</v>
      </c>
      <c r="AK12" s="76">
        <f>(3500000*17)/27</f>
        <v>2203703.7037037038</v>
      </c>
      <c r="AL12" s="76">
        <f>March58[[#This Row],[Working Day]]*AH5</f>
        <v>340000</v>
      </c>
      <c r="AM12" s="76">
        <v>50000</v>
      </c>
      <c r="AN12" s="76"/>
      <c r="AO12" s="76">
        <f>$AC$5*June[[#This Row],[Working Day]]</f>
        <v>0</v>
      </c>
      <c r="AQ12" s="50">
        <v>4000000</v>
      </c>
      <c r="AR12" s="51">
        <v>27</v>
      </c>
      <c r="AS12" s="52">
        <f>March58[[#This Row],[Working Day]]*AQ12/AR12</f>
        <v>2518518.5185185187</v>
      </c>
      <c r="AT12" s="52">
        <f>AS12+(March58[[#This Row],[Working Day]]*20000)</f>
        <v>2858518.5185185187</v>
      </c>
    </row>
    <row r="13" spans="2:46" ht="21" customHeight="1">
      <c r="B13" s="31" t="s">
        <v>67</v>
      </c>
      <c r="C13" s="1"/>
      <c r="D13" s="1" t="s">
        <v>72</v>
      </c>
      <c r="E13" s="1" t="s">
        <v>72</v>
      </c>
      <c r="F13" s="48"/>
      <c r="G13" s="1" t="s">
        <v>72</v>
      </c>
      <c r="H13" s="1" t="s">
        <v>72</v>
      </c>
      <c r="I13" s="1" t="s">
        <v>72</v>
      </c>
      <c r="J13" s="1" t="s">
        <v>72</v>
      </c>
      <c r="K13" s="86"/>
      <c r="L13" s="1" t="s">
        <v>72</v>
      </c>
      <c r="M13" s="48"/>
      <c r="N13" s="1" t="s">
        <v>72</v>
      </c>
      <c r="O13" s="1" t="s">
        <v>72</v>
      </c>
      <c r="P13" s="1" t="s">
        <v>72</v>
      </c>
      <c r="Q13" s="1" t="s">
        <v>72</v>
      </c>
      <c r="R13" s="1" t="s">
        <v>72</v>
      </c>
      <c r="S13" s="1" t="s">
        <v>72</v>
      </c>
      <c r="T13" s="48"/>
      <c r="U13" s="1" t="s">
        <v>72</v>
      </c>
      <c r="V13" s="1" t="s">
        <v>72</v>
      </c>
      <c r="W13" s="1" t="s">
        <v>72</v>
      </c>
      <c r="X13" s="1" t="s">
        <v>72</v>
      </c>
      <c r="Y13" s="1" t="s">
        <v>72</v>
      </c>
      <c r="Z13" s="1" t="s">
        <v>72</v>
      </c>
      <c r="AA13" s="48"/>
      <c r="AB13" s="1" t="s">
        <v>72</v>
      </c>
      <c r="AC13" s="1" t="s">
        <v>72</v>
      </c>
      <c r="AD13" s="1" t="s">
        <v>72</v>
      </c>
      <c r="AE13" s="1" t="s">
        <v>72</v>
      </c>
      <c r="AF13" s="1" t="s">
        <v>72</v>
      </c>
      <c r="AG13" s="1" t="s">
        <v>72</v>
      </c>
      <c r="AH13" s="3">
        <f>COUNTA(March58[[#This Row],[1]:[31]])</f>
        <v>25</v>
      </c>
      <c r="AJ13" s="76">
        <f>SUM(AK13:AO13)</f>
        <v>5000000</v>
      </c>
      <c r="AK13" s="76">
        <v>4500000</v>
      </c>
      <c r="AL13" s="76">
        <f>March58[[#This Row],[Working Day]]*AH5</f>
        <v>500000</v>
      </c>
      <c r="AM13" s="76"/>
      <c r="AN13" s="76"/>
      <c r="AO13" s="76">
        <f>$AC$5*June[[#This Row],[Working Day]]</f>
        <v>0</v>
      </c>
      <c r="AQ13" s="50"/>
      <c r="AS13" s="51"/>
      <c r="AT13" s="57">
        <v>4500000</v>
      </c>
    </row>
    <row r="14" spans="2:46" ht="21" customHeight="1">
      <c r="B14" s="31" t="s">
        <v>70</v>
      </c>
      <c r="C14" s="1"/>
      <c r="D14" s="1"/>
      <c r="E14" s="1"/>
      <c r="F14" s="48"/>
      <c r="G14" s="1" t="s">
        <v>72</v>
      </c>
      <c r="H14" s="1" t="s">
        <v>72</v>
      </c>
      <c r="I14" s="1" t="s">
        <v>72</v>
      </c>
      <c r="J14" s="1" t="s">
        <v>72</v>
      </c>
      <c r="K14" s="1" t="s">
        <v>72</v>
      </c>
      <c r="L14" s="1"/>
      <c r="M14" s="48"/>
      <c r="N14" s="86"/>
      <c r="O14" s="86"/>
      <c r="P14" s="1" t="s">
        <v>72</v>
      </c>
      <c r="Q14" s="1" t="s">
        <v>72</v>
      </c>
      <c r="R14" s="1"/>
      <c r="S14" s="1"/>
      <c r="T14" s="48"/>
      <c r="U14" s="86"/>
      <c r="V14" s="1" t="s">
        <v>72</v>
      </c>
      <c r="W14" s="1" t="s">
        <v>72</v>
      </c>
      <c r="X14" s="1" t="s">
        <v>72</v>
      </c>
      <c r="Y14" s="1" t="s">
        <v>72</v>
      </c>
      <c r="Z14" s="1" t="s">
        <v>72</v>
      </c>
      <c r="AA14" s="48"/>
      <c r="AB14" s="86"/>
      <c r="AC14" s="1" t="s">
        <v>72</v>
      </c>
      <c r="AD14" s="1" t="s">
        <v>72</v>
      </c>
      <c r="AE14" s="1" t="s">
        <v>72</v>
      </c>
      <c r="AF14" s="1" t="s">
        <v>72</v>
      </c>
      <c r="AG14" s="86"/>
      <c r="AH14" s="3">
        <f>COUNTA(March58[[#This Row],[1]:[31]])</f>
        <v>16</v>
      </c>
      <c r="AJ14" s="76">
        <f t="shared" ref="AJ14" si="1">SUM(AK14:AO14)</f>
        <v>4500000</v>
      </c>
      <c r="AK14" s="76">
        <v>4500000</v>
      </c>
      <c r="AL14" s="76"/>
      <c r="AM14" s="76"/>
      <c r="AN14" s="76"/>
      <c r="AO14" s="76">
        <f>$AC$5*June[[#This Row],[Working Day]]</f>
        <v>0</v>
      </c>
      <c r="AQ14" s="50"/>
      <c r="AT14" s="57"/>
    </row>
    <row r="15" spans="2:46" ht="21" customHeight="1">
      <c r="B15" s="31" t="s">
        <v>69</v>
      </c>
      <c r="C15" s="1"/>
      <c r="D15" s="1"/>
      <c r="E15" s="1"/>
      <c r="F15" s="48"/>
      <c r="G15" s="1"/>
      <c r="H15" s="1"/>
      <c r="I15" s="1"/>
      <c r="J15" s="1"/>
      <c r="K15" s="1"/>
      <c r="L15" s="1"/>
      <c r="M15" s="48"/>
      <c r="N15" s="1"/>
      <c r="O15" s="1"/>
      <c r="P15" s="1" t="s">
        <v>72</v>
      </c>
      <c r="Q15" s="1"/>
      <c r="R15" s="1" t="s">
        <v>72</v>
      </c>
      <c r="S15" s="1"/>
      <c r="T15" s="48"/>
      <c r="U15" s="1"/>
      <c r="V15" s="1" t="s">
        <v>72</v>
      </c>
      <c r="W15" s="1"/>
      <c r="X15" s="1"/>
      <c r="Y15" s="1"/>
      <c r="Z15" s="1"/>
      <c r="AA15" s="48"/>
      <c r="AB15" s="1"/>
      <c r="AC15" s="1"/>
      <c r="AD15" s="1"/>
      <c r="AE15" s="1"/>
      <c r="AF15" s="1"/>
      <c r="AG15" s="32"/>
      <c r="AH15" s="3">
        <f>COUNTA(March58[[#This Row],[1]:[31]])</f>
        <v>3</v>
      </c>
      <c r="AJ15" s="76">
        <f>SUM(AK15:AO15)</f>
        <v>560000</v>
      </c>
      <c r="AK15" s="76">
        <f>(4500000*3)/27</f>
        <v>500000</v>
      </c>
      <c r="AL15" s="76">
        <f>March58[[#This Row],[Working Day]]*AH5</f>
        <v>60000</v>
      </c>
      <c r="AM15" s="76"/>
      <c r="AN15" s="76"/>
      <c r="AO15" s="76">
        <f>$AC$5*June[[#This Row],[Working Day]]</f>
        <v>0</v>
      </c>
      <c r="AQ15" s="50"/>
      <c r="AT15" s="57">
        <f>((4000000/27)*3)+60000</f>
        <v>504444.44444444444</v>
      </c>
    </row>
    <row r="16" spans="2:46" ht="21" customHeight="1">
      <c r="B16" s="31"/>
      <c r="C16" s="1"/>
      <c r="D16" s="1"/>
      <c r="E16" s="1"/>
      <c r="F16" s="48"/>
      <c r="G16" s="1"/>
      <c r="H16" s="1"/>
      <c r="I16" s="1"/>
      <c r="J16" s="1"/>
      <c r="K16" s="1"/>
      <c r="L16" s="1"/>
      <c r="M16" s="48"/>
      <c r="N16" s="1"/>
      <c r="O16" s="1"/>
      <c r="P16" s="1"/>
      <c r="Q16" s="1"/>
      <c r="R16" s="1"/>
      <c r="S16" s="1"/>
      <c r="T16" s="48"/>
      <c r="U16" s="1"/>
      <c r="V16" s="1"/>
      <c r="W16" s="1"/>
      <c r="X16" s="1"/>
      <c r="Y16" s="1"/>
      <c r="Z16" s="1"/>
      <c r="AA16" s="48"/>
      <c r="AB16" s="1"/>
      <c r="AC16" s="1"/>
      <c r="AD16" s="1"/>
      <c r="AE16" s="1"/>
      <c r="AF16" s="1"/>
      <c r="AG16" s="32"/>
      <c r="AH16" s="3">
        <f>COUNTA(March58[[#This Row],[1]:[31]])</f>
        <v>0</v>
      </c>
      <c r="AJ16" s="76">
        <f t="shared" si="0"/>
        <v>0</v>
      </c>
      <c r="AK16" s="76"/>
      <c r="AL16" s="76"/>
      <c r="AM16" s="76"/>
      <c r="AN16" s="76"/>
      <c r="AO16" s="76">
        <f>$AC$5*June[[#This Row],[Working Day]]</f>
        <v>0</v>
      </c>
      <c r="AQ16" s="50"/>
      <c r="AT16" s="57"/>
    </row>
    <row r="17" spans="2:46" ht="21" customHeight="1">
      <c r="B17" s="31"/>
      <c r="C17" s="1"/>
      <c r="D17" s="1"/>
      <c r="E17" s="1"/>
      <c r="F17" s="48"/>
      <c r="G17" s="1"/>
      <c r="H17" s="1"/>
      <c r="I17" s="1"/>
      <c r="J17" s="1"/>
      <c r="K17" s="1"/>
      <c r="L17" s="1"/>
      <c r="M17" s="48"/>
      <c r="N17" s="1"/>
      <c r="O17" s="1"/>
      <c r="P17" s="1"/>
      <c r="Q17" s="1"/>
      <c r="R17" s="1"/>
      <c r="S17" s="1"/>
      <c r="T17" s="48"/>
      <c r="U17" s="1"/>
      <c r="V17" s="1"/>
      <c r="W17" s="1"/>
      <c r="X17" s="1"/>
      <c r="Y17" s="1"/>
      <c r="Z17" s="1"/>
      <c r="AA17" s="48"/>
      <c r="AB17" s="1"/>
      <c r="AC17" s="1"/>
      <c r="AD17" s="1"/>
      <c r="AE17" s="1"/>
      <c r="AF17" s="1"/>
      <c r="AG17" s="32"/>
      <c r="AH17" s="3">
        <f>COUNTA(March58[[#This Row],[1]:[31]])</f>
        <v>0</v>
      </c>
      <c r="AJ17" s="76">
        <f t="shared" si="0"/>
        <v>0</v>
      </c>
      <c r="AK17" s="76"/>
      <c r="AL17" s="76">
        <f>$AH$5*June[[#This Row],[Working Day]]</f>
        <v>0</v>
      </c>
      <c r="AM17" s="76"/>
      <c r="AN17" s="76"/>
      <c r="AO17" s="76">
        <f>$AC$5*June[[#This Row],[Working Day]]</f>
        <v>0</v>
      </c>
      <c r="AQ17" s="50"/>
      <c r="AT17" s="57"/>
    </row>
    <row r="18" spans="2:46" ht="21" customHeight="1">
      <c r="B18" s="47"/>
      <c r="C18" s="1"/>
      <c r="D18" s="1"/>
      <c r="E18" s="1"/>
      <c r="F18" s="48"/>
      <c r="G18" s="1"/>
      <c r="H18" s="1"/>
      <c r="I18" s="1"/>
      <c r="J18" s="1"/>
      <c r="K18" s="1"/>
      <c r="L18" s="1"/>
      <c r="M18" s="48"/>
      <c r="N18" s="86"/>
      <c r="O18" s="86"/>
      <c r="P18" s="1"/>
      <c r="Q18" s="1"/>
      <c r="R18" s="1"/>
      <c r="S18" s="1"/>
      <c r="T18" s="48"/>
      <c r="U18" s="86"/>
      <c r="V18" s="1"/>
      <c r="W18" s="1"/>
      <c r="X18" s="1"/>
      <c r="Y18" s="1"/>
      <c r="Z18" s="1"/>
      <c r="AA18" s="48"/>
      <c r="AB18" s="86"/>
      <c r="AC18" s="1"/>
      <c r="AD18" s="1"/>
      <c r="AE18" s="1"/>
      <c r="AF18" s="1"/>
      <c r="AG18" s="86"/>
      <c r="AH18" s="3">
        <f>COUNTA(March58[[#This Row],[1]:[31]])</f>
        <v>0</v>
      </c>
      <c r="AJ18" s="76">
        <f t="shared" si="0"/>
        <v>0</v>
      </c>
      <c r="AK18" s="76"/>
      <c r="AL18" s="76">
        <f>$AH$5*June[[#This Row],[Working Day]]</f>
        <v>0</v>
      </c>
      <c r="AM18" s="76"/>
      <c r="AN18" s="76"/>
      <c r="AO18" s="76">
        <f>$AC$5*June[[#This Row],[Working Day]]</f>
        <v>0</v>
      </c>
      <c r="AQ18" s="50"/>
      <c r="AT18" s="57">
        <v>4500000</v>
      </c>
    </row>
    <row r="19" spans="2:46" ht="21" customHeight="1">
      <c r="B19" s="84"/>
      <c r="F19" s="85"/>
      <c r="M19" s="85"/>
      <c r="T19" s="85"/>
      <c r="AA19" s="85"/>
      <c r="AG19" s="32"/>
      <c r="AH19" s="3">
        <f>COUNTA(March58[[#This Row],[1]:[31]])</f>
        <v>0</v>
      </c>
      <c r="AJ19" s="76">
        <f t="shared" si="0"/>
        <v>0</v>
      </c>
      <c r="AK19" s="76"/>
      <c r="AL19" s="76">
        <f>$AH$5*June[[#This Row],[Working Day]]</f>
        <v>0</v>
      </c>
      <c r="AM19" s="76"/>
      <c r="AN19" s="76"/>
      <c r="AO19" s="76">
        <f>$AC$5*June[[#This Row],[Working Day]]</f>
        <v>0</v>
      </c>
      <c r="AQ19" s="50"/>
      <c r="AT19" s="58">
        <f>SUM(AT9:AT18)</f>
        <v>16389629.629629629</v>
      </c>
    </row>
    <row r="20" spans="2:46" ht="30" customHeight="1">
      <c r="B20" s="5" t="str">
        <f>MonthName&amp;" Total"</f>
        <v xml:space="preserve"> Total</v>
      </c>
      <c r="C20" s="4">
        <f>SUBTOTAL(103,March58[1])</f>
        <v>1</v>
      </c>
      <c r="D20" s="4">
        <f>SUBTOTAL(103,March58[2])</f>
        <v>3</v>
      </c>
      <c r="E20" s="4">
        <f>SUBTOTAL(103,March58[3])</f>
        <v>3</v>
      </c>
      <c r="F20" s="49">
        <f>SUBTOTAL(103,March58[4])</f>
        <v>0</v>
      </c>
      <c r="G20" s="4">
        <f>SUBTOTAL(103,March58[5])</f>
        <v>4</v>
      </c>
      <c r="H20" s="4">
        <f>SUBTOTAL(103,March58[6])</f>
        <v>4</v>
      </c>
      <c r="I20" s="4">
        <f>SUBTOTAL(103,March58[7])</f>
        <v>4</v>
      </c>
      <c r="J20" s="4">
        <f>SUBTOTAL(103,March58[8])</f>
        <v>4</v>
      </c>
      <c r="K20" s="4">
        <f>SUBTOTAL(103,March58[9])</f>
        <v>2</v>
      </c>
      <c r="L20" s="4">
        <f>SUBTOTAL(103,March58[10])</f>
        <v>2</v>
      </c>
      <c r="M20" s="49">
        <f>SUBTOTAL(103,March58[11])</f>
        <v>0</v>
      </c>
      <c r="N20" s="4">
        <f>SUBTOTAL(103,March58[12])</f>
        <v>4</v>
      </c>
      <c r="O20" s="4">
        <f>SUBTOTAL(103,March58[13])</f>
        <v>4</v>
      </c>
      <c r="P20" s="4">
        <f>SUBTOTAL(103,March58[14])</f>
        <v>6</v>
      </c>
      <c r="Q20" s="4">
        <f>SUBTOTAL(103,March58[15])</f>
        <v>6</v>
      </c>
      <c r="R20" s="4">
        <f>SUBTOTAL(103,March58[16])</f>
        <v>5</v>
      </c>
      <c r="S20" s="4">
        <f>SUBTOTAL(103,March58[17])</f>
        <v>4</v>
      </c>
      <c r="T20" s="49">
        <f>SUBTOTAL(103,March58[18])</f>
        <v>0</v>
      </c>
      <c r="U20" s="4">
        <f>SUBTOTAL(103,March58[19])</f>
        <v>5</v>
      </c>
      <c r="V20" s="4">
        <f>SUBTOTAL(103,March58[20])</f>
        <v>7</v>
      </c>
      <c r="W20" s="4">
        <f>SUBTOTAL(103,March58[21])</f>
        <v>6</v>
      </c>
      <c r="X20" s="4">
        <f>SUBTOTAL(103,March58[22])</f>
        <v>6</v>
      </c>
      <c r="Y20" s="4">
        <f>SUBTOTAL(103,March58[23])</f>
        <v>6</v>
      </c>
      <c r="Z20" s="4">
        <f>SUBTOTAL(103,March58[24])</f>
        <v>6</v>
      </c>
      <c r="AA20" s="49">
        <f>SUBTOTAL(103,March58[25])</f>
        <v>2</v>
      </c>
      <c r="AB20" s="4">
        <f>SUBTOTAL(103,March58[26])</f>
        <v>5</v>
      </c>
      <c r="AC20" s="4">
        <f>SUBTOTAL(103,March58[27])</f>
        <v>6</v>
      </c>
      <c r="AD20" s="4">
        <f>SUBTOTAL(103,March58[28])</f>
        <v>6</v>
      </c>
      <c r="AE20" s="4">
        <f>SUBTOTAL(103,March58[29])</f>
        <v>6</v>
      </c>
      <c r="AF20" s="4">
        <f>SUBTOTAL(109,March58[30])</f>
        <v>0</v>
      </c>
      <c r="AG20" s="4">
        <f>SUBTOTAL(109,March58[31])</f>
        <v>0</v>
      </c>
      <c r="AH20" s="91">
        <f>COUNTA(June[[#This Row],[1]:[ ]])</f>
        <v>0</v>
      </c>
      <c r="AJ20" s="76">
        <f t="shared" si="0"/>
        <v>0</v>
      </c>
      <c r="AK20" s="76"/>
      <c r="AL20" s="76">
        <f>$AH$5*June[[#This Row],[Working Day]]</f>
        <v>0</v>
      </c>
      <c r="AM20" s="76"/>
      <c r="AN20" s="76"/>
      <c r="AO20" s="76">
        <f>$AC$5*June[[#This Row],[Working Day]]</f>
        <v>0</v>
      </c>
      <c r="AT20" s="57"/>
    </row>
    <row r="21" spans="2:46" ht="30" customHeight="1">
      <c r="AH21" s="3">
        <f>COUNTA(June[[#This Row],[1]:[ ]])</f>
        <v>1</v>
      </c>
      <c r="AJ21" s="79">
        <f>SUM(AJ9:AJ20)</f>
        <v>22370370.370370369</v>
      </c>
      <c r="AK21" s="74"/>
      <c r="AL21" s="74"/>
      <c r="AM21" s="74"/>
      <c r="AN21" s="74"/>
      <c r="AO21" s="74"/>
    </row>
    <row r="22" spans="2:46" ht="30" customHeight="1">
      <c r="AH22" s="4">
        <f>SUBTOTAL(109,June[Working Day])</f>
        <v>130</v>
      </c>
    </row>
  </sheetData>
  <mergeCells count="6">
    <mergeCell ref="C6:AG6"/>
    <mergeCell ref="D4:F4"/>
    <mergeCell ref="H4:J4"/>
    <mergeCell ref="L4:M4"/>
    <mergeCell ref="O4:Q4"/>
    <mergeCell ref="S4:U4"/>
  </mergeCells>
  <conditionalFormatting sqref="C9:E10">
    <cfRule type="expression" priority="25" stopIfTrue="1">
      <formula>C9=""</formula>
    </cfRule>
    <cfRule type="expression" dxfId="1049" priority="26" stopIfTrue="1">
      <formula>C9=KeyCustom2</formula>
    </cfRule>
    <cfRule type="expression" dxfId="1048" priority="27" stopIfTrue="1">
      <formula>C9=KeyCustom1</formula>
    </cfRule>
    <cfRule type="expression" dxfId="1047" priority="28" stopIfTrue="1">
      <formula>C9=KeySick</formula>
    </cfRule>
    <cfRule type="expression" dxfId="1046" priority="29" stopIfTrue="1">
      <formula>C9=KeyPersonal</formula>
    </cfRule>
    <cfRule type="expression" dxfId="1045" priority="30" stopIfTrue="1">
      <formula>C9=KeyVacation</formula>
    </cfRule>
  </conditionalFormatting>
  <conditionalFormatting sqref="D13:E13">
    <cfRule type="expression" priority="188" stopIfTrue="1">
      <formula>D13=""</formula>
    </cfRule>
    <cfRule type="expression" dxfId="1044" priority="189" stopIfTrue="1">
      <formula>D13=KeyCustom2</formula>
    </cfRule>
    <cfRule type="expression" dxfId="1043" priority="190" stopIfTrue="1">
      <formula>D13=KeyCustom1</formula>
    </cfRule>
    <cfRule type="expression" dxfId="1042" priority="191" stopIfTrue="1">
      <formula>D13=KeySick</formula>
    </cfRule>
    <cfRule type="expression" dxfId="1041" priority="192" stopIfTrue="1">
      <formula>D13=KeyPersonal</formula>
    </cfRule>
    <cfRule type="expression" dxfId="1040" priority="193" stopIfTrue="1">
      <formula>D13=KeyVacation</formula>
    </cfRule>
  </conditionalFormatting>
  <conditionalFormatting sqref="G10:J10">
    <cfRule type="expression" priority="152" stopIfTrue="1">
      <formula>G10=""</formula>
    </cfRule>
    <cfRule type="expression" dxfId="1039" priority="153" stopIfTrue="1">
      <formula>G10=KeyCustom2</formula>
    </cfRule>
    <cfRule type="expression" dxfId="1038" priority="154" stopIfTrue="1">
      <formula>G10=KeyCustom1</formula>
    </cfRule>
    <cfRule type="expression" dxfId="1037" priority="155" stopIfTrue="1">
      <formula>G10=KeySick</formula>
    </cfRule>
    <cfRule type="expression" dxfId="1036" priority="156" stopIfTrue="1">
      <formula>G10=KeyPersonal</formula>
    </cfRule>
    <cfRule type="expression" dxfId="1035" priority="157" stopIfTrue="1">
      <formula>G10=KeyVacation</formula>
    </cfRule>
  </conditionalFormatting>
  <conditionalFormatting sqref="G14:K14">
    <cfRule type="expression" priority="55" stopIfTrue="1">
      <formula>G14=""</formula>
    </cfRule>
    <cfRule type="expression" dxfId="1034" priority="56" stopIfTrue="1">
      <formula>G14=KeyCustom2</formula>
    </cfRule>
    <cfRule type="expression" dxfId="1033" priority="57" stopIfTrue="1">
      <formula>G14=KeyCustom1</formula>
    </cfRule>
    <cfRule type="expression" dxfId="1032" priority="58" stopIfTrue="1">
      <formula>G14=KeySick</formula>
    </cfRule>
    <cfRule type="expression" dxfId="1031" priority="59" stopIfTrue="1">
      <formula>G14=KeyPersonal</formula>
    </cfRule>
    <cfRule type="expression" dxfId="1030" priority="60" stopIfTrue="1">
      <formula>G14=KeyVacation</formula>
    </cfRule>
  </conditionalFormatting>
  <conditionalFormatting sqref="G18:K18">
    <cfRule type="expression" priority="80" stopIfTrue="1">
      <formula>G18=""</formula>
    </cfRule>
    <cfRule type="expression" dxfId="1029" priority="81" stopIfTrue="1">
      <formula>G18=KeyCustom2</formula>
    </cfRule>
    <cfRule type="expression" dxfId="1028" priority="82" stopIfTrue="1">
      <formula>G18=KeyCustom1</formula>
    </cfRule>
    <cfRule type="expression" dxfId="1027" priority="83" stopIfTrue="1">
      <formula>G18=KeySick</formula>
    </cfRule>
    <cfRule type="expression" dxfId="1026" priority="84" stopIfTrue="1">
      <formula>G18=KeyPersonal</formula>
    </cfRule>
    <cfRule type="expression" dxfId="1025" priority="85" stopIfTrue="1">
      <formula>G18=KeyVacation</formula>
    </cfRule>
  </conditionalFormatting>
  <conditionalFormatting sqref="G9:L9">
    <cfRule type="expression" priority="19" stopIfTrue="1">
      <formula>G9=""</formula>
    </cfRule>
    <cfRule type="expression" dxfId="1024" priority="20" stopIfTrue="1">
      <formula>G9=KeyCustom2</formula>
    </cfRule>
    <cfRule type="expression" dxfId="1023" priority="21" stopIfTrue="1">
      <formula>G9=KeyCustom1</formula>
    </cfRule>
    <cfRule type="expression" dxfId="1022" priority="22" stopIfTrue="1">
      <formula>G9=KeySick</formula>
    </cfRule>
    <cfRule type="expression" dxfId="1021" priority="23" stopIfTrue="1">
      <formula>G9=KeyPersonal</formula>
    </cfRule>
    <cfRule type="expression" dxfId="1020" priority="24" stopIfTrue="1">
      <formula>G9=KeyVacation</formula>
    </cfRule>
  </conditionalFormatting>
  <conditionalFormatting sqref="G13:L13">
    <cfRule type="expression" priority="182" stopIfTrue="1">
      <formula>G13=""</formula>
    </cfRule>
    <cfRule type="expression" dxfId="1019" priority="183" stopIfTrue="1">
      <formula>G13=KeyCustom2</formula>
    </cfRule>
    <cfRule type="expression" dxfId="1018" priority="184" stopIfTrue="1">
      <formula>G13=KeyCustom1</formula>
    </cfRule>
    <cfRule type="expression" dxfId="1017" priority="185" stopIfTrue="1">
      <formula>G13=KeySick</formula>
    </cfRule>
    <cfRule type="expression" dxfId="1016" priority="186" stopIfTrue="1">
      <formula>G13=KeyPersonal</formula>
    </cfRule>
    <cfRule type="expression" dxfId="1015" priority="187" stopIfTrue="1">
      <formula>G13=KeyVacation</formula>
    </cfRule>
  </conditionalFormatting>
  <conditionalFormatting sqref="M9 F9:F10 T9:T11 AA9:AA13 K10:P10 C11:M12 R12:T12 C13 F13 M13 T13 C14:F14 L14:O14 R14:U14 AA14:AB14 AG14 C15:O15 Q15 S15:U15 W15:AG15 C16:AG17 C18:F18 L18:O18 R18:U18 AA18:AB18 AG18">
    <cfRule type="expression" priority="194" stopIfTrue="1">
      <formula>C9=""</formula>
    </cfRule>
    <cfRule type="expression" dxfId="1014" priority="195" stopIfTrue="1">
      <formula>C9=KeyCustom2</formula>
    </cfRule>
    <cfRule type="expression" dxfId="1013" priority="196" stopIfTrue="1">
      <formula>C9=KeyCustom1</formula>
    </cfRule>
    <cfRule type="expression" dxfId="1012" priority="197" stopIfTrue="1">
      <formula>C9=KeySick</formula>
    </cfRule>
    <cfRule type="expression" dxfId="1011" priority="198" stopIfTrue="1">
      <formula>C9=KeyPersonal</formula>
    </cfRule>
    <cfRule type="expression" dxfId="1010" priority="199" stopIfTrue="1">
      <formula>C9=KeyVacation</formula>
    </cfRule>
  </conditionalFormatting>
  <conditionalFormatting sqref="N12:Q12">
    <cfRule type="expression" priority="110" stopIfTrue="1">
      <formula>N12=""</formula>
    </cfRule>
    <cfRule type="expression" dxfId="1009" priority="111" stopIfTrue="1">
      <formula>N12=KeyCustom2</formula>
    </cfRule>
    <cfRule type="expression" dxfId="1008" priority="112" stopIfTrue="1">
      <formula>N12=KeyCustom1</formula>
    </cfRule>
    <cfRule type="expression" dxfId="1007" priority="113" stopIfTrue="1">
      <formula>N12=KeySick</formula>
    </cfRule>
    <cfRule type="expression" dxfId="1006" priority="114" stopIfTrue="1">
      <formula>N12=KeyPersonal</formula>
    </cfRule>
    <cfRule type="expression" dxfId="1005" priority="115" stopIfTrue="1">
      <formula>N12=KeyVacation</formula>
    </cfRule>
  </conditionalFormatting>
  <conditionalFormatting sqref="N9:S9">
    <cfRule type="expression" priority="13" stopIfTrue="1">
      <formula>N9=""</formula>
    </cfRule>
    <cfRule type="expression" dxfId="1004" priority="14" stopIfTrue="1">
      <formula>N9=KeyCustom2</formula>
    </cfRule>
    <cfRule type="expression" dxfId="1003" priority="15" stopIfTrue="1">
      <formula>N9=KeyCustom1</formula>
    </cfRule>
    <cfRule type="expression" dxfId="1002" priority="16" stopIfTrue="1">
      <formula>N9=KeySick</formula>
    </cfRule>
    <cfRule type="expression" dxfId="1001" priority="17" stopIfTrue="1">
      <formula>N9=KeyPersonal</formula>
    </cfRule>
    <cfRule type="expression" dxfId="1000" priority="18" stopIfTrue="1">
      <formula>N9=KeyVacation</formula>
    </cfRule>
  </conditionalFormatting>
  <conditionalFormatting sqref="N11:S11">
    <cfRule type="expression" priority="128" stopIfTrue="1">
      <formula>N11=""</formula>
    </cfRule>
    <cfRule type="expression" dxfId="999" priority="129" stopIfTrue="1">
      <formula>N11=KeyCustom2</formula>
    </cfRule>
    <cfRule type="expression" dxfId="998" priority="130" stopIfTrue="1">
      <formula>N11=KeyCustom1</formula>
    </cfRule>
    <cfRule type="expression" dxfId="997" priority="131" stopIfTrue="1">
      <formula>N11=KeySick</formula>
    </cfRule>
    <cfRule type="expression" dxfId="996" priority="132" stopIfTrue="1">
      <formula>N11=KeyPersonal</formula>
    </cfRule>
    <cfRule type="expression" dxfId="995" priority="133" stopIfTrue="1">
      <formula>N11=KeyVacation</formula>
    </cfRule>
  </conditionalFormatting>
  <conditionalFormatting sqref="N13:S13">
    <cfRule type="expression" priority="176" stopIfTrue="1">
      <formula>N13=""</formula>
    </cfRule>
    <cfRule type="expression" dxfId="994" priority="177" stopIfTrue="1">
      <formula>N13=KeyCustom2</formula>
    </cfRule>
    <cfRule type="expression" dxfId="993" priority="178" stopIfTrue="1">
      <formula>N13=KeyCustom1</formula>
    </cfRule>
    <cfRule type="expression" dxfId="992" priority="179" stopIfTrue="1">
      <formula>N13=KeySick</formula>
    </cfRule>
    <cfRule type="expression" dxfId="991" priority="180" stopIfTrue="1">
      <formula>N13=KeyPersonal</formula>
    </cfRule>
    <cfRule type="expression" dxfId="990" priority="181" stopIfTrue="1">
      <formula>N13=KeyVacation</formula>
    </cfRule>
  </conditionalFormatting>
  <conditionalFormatting sqref="P15">
    <cfRule type="expression" priority="98" stopIfTrue="1">
      <formula>P15=""</formula>
    </cfRule>
    <cfRule type="expression" dxfId="989" priority="99" stopIfTrue="1">
      <formula>P15=KeyCustom2</formula>
    </cfRule>
    <cfRule type="expression" dxfId="988" priority="100" stopIfTrue="1">
      <formula>P15=KeyCustom1</formula>
    </cfRule>
    <cfRule type="expression" dxfId="987" priority="101" stopIfTrue="1">
      <formula>P15=KeySick</formula>
    </cfRule>
    <cfRule type="expression" dxfId="986" priority="102" stopIfTrue="1">
      <formula>P15=KeyPersonal</formula>
    </cfRule>
    <cfRule type="expression" dxfId="985" priority="103" stopIfTrue="1">
      <formula>P15=KeyVacation</formula>
    </cfRule>
  </conditionalFormatting>
  <conditionalFormatting sqref="P14:Q14">
    <cfRule type="expression" priority="43" stopIfTrue="1">
      <formula>P14=""</formula>
    </cfRule>
    <cfRule type="expression" dxfId="984" priority="44" stopIfTrue="1">
      <formula>P14=KeyCustom2</formula>
    </cfRule>
    <cfRule type="expression" dxfId="983" priority="45" stopIfTrue="1">
      <formula>P14=KeyCustom1</formula>
    </cfRule>
    <cfRule type="expression" dxfId="982" priority="46" stopIfTrue="1">
      <formula>P14=KeySick</formula>
    </cfRule>
    <cfRule type="expression" dxfId="981" priority="47" stopIfTrue="1">
      <formula>P14=KeyPersonal</formula>
    </cfRule>
    <cfRule type="expression" dxfId="980" priority="48" stopIfTrue="1">
      <formula>P14=KeyVacation</formula>
    </cfRule>
  </conditionalFormatting>
  <conditionalFormatting sqref="P18:Q18">
    <cfRule type="expression" priority="68" stopIfTrue="1">
      <formula>P18=""</formula>
    </cfRule>
    <cfRule type="expression" dxfId="979" priority="69" stopIfTrue="1">
      <formula>P18=KeyCustom2</formula>
    </cfRule>
    <cfRule type="expression" dxfId="978" priority="70" stopIfTrue="1">
      <formula>P18=KeyCustom1</formula>
    </cfRule>
    <cfRule type="expression" dxfId="977" priority="71" stopIfTrue="1">
      <formula>P18=KeySick</formula>
    </cfRule>
    <cfRule type="expression" dxfId="976" priority="72" stopIfTrue="1">
      <formula>P18=KeyPersonal</formula>
    </cfRule>
    <cfRule type="expression" dxfId="975" priority="73" stopIfTrue="1">
      <formula>P18=KeyVacation</formula>
    </cfRule>
  </conditionalFormatting>
  <conditionalFormatting sqref="Q10:S10">
    <cfRule type="expression" priority="146" stopIfTrue="1">
      <formula>Q10=""</formula>
    </cfRule>
    <cfRule type="expression" dxfId="974" priority="147" stopIfTrue="1">
      <formula>Q10=KeyCustom2</formula>
    </cfRule>
    <cfRule type="expression" dxfId="973" priority="148" stopIfTrue="1">
      <formula>Q10=KeyCustom1</formula>
    </cfRule>
    <cfRule type="expression" dxfId="972" priority="149" stopIfTrue="1">
      <formula>Q10=KeySick</formula>
    </cfRule>
    <cfRule type="expression" dxfId="971" priority="150" stopIfTrue="1">
      <formula>Q10=KeyPersonal</formula>
    </cfRule>
    <cfRule type="expression" dxfId="970" priority="151" stopIfTrue="1">
      <formula>Q10=KeyVacation</formula>
    </cfRule>
  </conditionalFormatting>
  <conditionalFormatting sqref="R15">
    <cfRule type="expression" priority="92" stopIfTrue="1">
      <formula>R15=""</formula>
    </cfRule>
    <cfRule type="expression" dxfId="969" priority="93" stopIfTrue="1">
      <formula>R15=KeyCustom2</formula>
    </cfRule>
    <cfRule type="expression" dxfId="968" priority="94" stopIfTrue="1">
      <formula>R15=KeyCustom1</formula>
    </cfRule>
    <cfRule type="expression" dxfId="967" priority="95" stopIfTrue="1">
      <formula>R15=KeySick</formula>
    </cfRule>
    <cfRule type="expression" dxfId="966" priority="96" stopIfTrue="1">
      <formula>R15=KeyPersonal</formula>
    </cfRule>
    <cfRule type="expression" dxfId="965" priority="97" stopIfTrue="1">
      <formula>R15=KeyVacation</formula>
    </cfRule>
  </conditionalFormatting>
  <conditionalFormatting sqref="U9:Z13">
    <cfRule type="expression" priority="7" stopIfTrue="1">
      <formula>U9=""</formula>
    </cfRule>
    <cfRule type="expression" dxfId="964" priority="8" stopIfTrue="1">
      <formula>U9=KeyCustom2</formula>
    </cfRule>
    <cfRule type="expression" dxfId="963" priority="9" stopIfTrue="1">
      <formula>U9=KeyCustom1</formula>
    </cfRule>
    <cfRule type="expression" dxfId="962" priority="10" stopIfTrue="1">
      <formula>U9=KeySick</formula>
    </cfRule>
    <cfRule type="expression" dxfId="961" priority="11" stopIfTrue="1">
      <formula>U9=KeyPersonal</formula>
    </cfRule>
    <cfRule type="expression" dxfId="960" priority="12" stopIfTrue="1">
      <formula>U9=KeyVacation</formula>
    </cfRule>
  </conditionalFormatting>
  <conditionalFormatting sqref="V15">
    <cfRule type="expression" priority="86" stopIfTrue="1">
      <formula>V15=""</formula>
    </cfRule>
    <cfRule type="expression" dxfId="959" priority="87" stopIfTrue="1">
      <formula>V15=KeyCustom2</formula>
    </cfRule>
    <cfRule type="expression" dxfId="958" priority="88" stopIfTrue="1">
      <formula>V15=KeyCustom1</formula>
    </cfRule>
    <cfRule type="expression" dxfId="957" priority="89" stopIfTrue="1">
      <formula>V15=KeySick</formula>
    </cfRule>
    <cfRule type="expression" dxfId="956" priority="90" stopIfTrue="1">
      <formula>V15=KeyPersonal</formula>
    </cfRule>
    <cfRule type="expression" dxfId="955" priority="91" stopIfTrue="1">
      <formula>V15=KeyVacation</formula>
    </cfRule>
  </conditionalFormatting>
  <conditionalFormatting sqref="V14:Z14">
    <cfRule type="expression" priority="49" stopIfTrue="1">
      <formula>V14=""</formula>
    </cfRule>
    <cfRule type="expression" dxfId="954" priority="50" stopIfTrue="1">
      <formula>V14=KeyCustom2</formula>
    </cfRule>
    <cfRule type="expression" dxfId="953" priority="51" stopIfTrue="1">
      <formula>V14=KeyCustom1</formula>
    </cfRule>
    <cfRule type="expression" dxfId="952" priority="52" stopIfTrue="1">
      <formula>V14=KeySick</formula>
    </cfRule>
    <cfRule type="expression" dxfId="951" priority="53" stopIfTrue="1">
      <formula>V14=KeyPersonal</formula>
    </cfRule>
    <cfRule type="expression" dxfId="950" priority="54" stopIfTrue="1">
      <formula>V14=KeyVacation</formula>
    </cfRule>
  </conditionalFormatting>
  <conditionalFormatting sqref="V18:Z18">
    <cfRule type="expression" priority="74" stopIfTrue="1">
      <formula>V18=""</formula>
    </cfRule>
    <cfRule type="expression" dxfId="949" priority="75" stopIfTrue="1">
      <formula>V18=KeyCustom2</formula>
    </cfRule>
    <cfRule type="expression" dxfId="948" priority="76" stopIfTrue="1">
      <formula>V18=KeyCustom1</formula>
    </cfRule>
    <cfRule type="expression" dxfId="947" priority="77" stopIfTrue="1">
      <formula>V18=KeySick</formula>
    </cfRule>
    <cfRule type="expression" dxfId="946" priority="78" stopIfTrue="1">
      <formula>V18=KeyPersonal</formula>
    </cfRule>
    <cfRule type="expression" dxfId="945" priority="79" stopIfTrue="1">
      <formula>V18=KeyVacation</formula>
    </cfRule>
  </conditionalFormatting>
  <conditionalFormatting sqref="AB9:AG13">
    <cfRule type="expression" priority="1" stopIfTrue="1">
      <formula>AB9=""</formula>
    </cfRule>
    <cfRule type="expression" dxfId="944" priority="2" stopIfTrue="1">
      <formula>AB9=KeyCustom2</formula>
    </cfRule>
    <cfRule type="expression" dxfId="943" priority="3" stopIfTrue="1">
      <formula>AB9=KeyCustom1</formula>
    </cfRule>
    <cfRule type="expression" dxfId="942" priority="4" stopIfTrue="1">
      <formula>AB9=KeySick</formula>
    </cfRule>
    <cfRule type="expression" dxfId="941" priority="5" stopIfTrue="1">
      <formula>AB9=KeyPersonal</formula>
    </cfRule>
    <cfRule type="expression" dxfId="940" priority="6" stopIfTrue="1">
      <formula>AB9=KeyVacation</formula>
    </cfRule>
  </conditionalFormatting>
  <conditionalFormatting sqref="AC14:AF14">
    <cfRule type="expression" priority="37" stopIfTrue="1">
      <formula>AC14=""</formula>
    </cfRule>
    <cfRule type="expression" dxfId="939" priority="38" stopIfTrue="1">
      <formula>AC14=KeyCustom2</formula>
    </cfRule>
    <cfRule type="expression" dxfId="938" priority="39" stopIfTrue="1">
      <formula>AC14=KeyCustom1</formula>
    </cfRule>
    <cfRule type="expression" dxfId="937" priority="40" stopIfTrue="1">
      <formula>AC14=KeySick</formula>
    </cfRule>
    <cfRule type="expression" dxfId="936" priority="41" stopIfTrue="1">
      <formula>AC14=KeyPersonal</formula>
    </cfRule>
    <cfRule type="expression" dxfId="935" priority="42" stopIfTrue="1">
      <formula>AC14=KeyVacation</formula>
    </cfRule>
  </conditionalFormatting>
  <conditionalFormatting sqref="AC18:AF18">
    <cfRule type="expression" priority="62" stopIfTrue="1">
      <formula>AC18=""</formula>
    </cfRule>
    <cfRule type="expression" dxfId="934" priority="63" stopIfTrue="1">
      <formula>AC18=KeyCustom2</formula>
    </cfRule>
    <cfRule type="expression" dxfId="933" priority="64" stopIfTrue="1">
      <formula>AC18=KeyCustom1</formula>
    </cfRule>
    <cfRule type="expression" dxfId="932" priority="65" stopIfTrue="1">
      <formula>AC18=KeySick</formula>
    </cfRule>
    <cfRule type="expression" dxfId="931" priority="66" stopIfTrue="1">
      <formula>AC18=KeyPersonal</formula>
    </cfRule>
    <cfRule type="expression" dxfId="930" priority="67" stopIfTrue="1">
      <formula>AC18=KeyVacation</formula>
    </cfRule>
  </conditionalFormatting>
  <conditionalFormatting sqref="AH9:AH21">
    <cfRule type="dataBar" priority="231">
      <dataBar>
        <cfvo type="min"/>
        <cfvo type="formula" val="DATEDIF(DATE(CalendarYear,2,1),DATE(CalendarYear,3,1),&quot;d&quot;)"/>
        <color theme="2" tint="-0.249977111117893"/>
      </dataBar>
      <extLst>
        <ext xmlns:x14="http://schemas.microsoft.com/office/spreadsheetml/2009/9/main" uri="{B025F937-C7B1-47D3-B67F-A62EFF666E3E}">
          <x14:id>{04C9EF80-87BE-46FA-83E0-46F2C9870B1E}</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8"/>
    <dataValidation allowBlank="1" showInputMessage="1" showErrorMessage="1" prompt="Enter a label to describe the custom key at left" sqref="O4:Q4 S4:U4"/>
    <dataValidation allowBlank="1" showInputMessage="1" showErrorMessage="1" prompt="Enter a letter and customize the label at right to add another key item" sqref="N4 R4"/>
    <dataValidation allowBlank="1" showInputMessage="1" showErrorMessage="1" prompt="The letter &quot;S&quot; indicates absence due to illness" sqref="K4"/>
    <dataValidation allowBlank="1" showInputMessage="1" showErrorMessage="1" prompt="The letter &quot;P&quot; indicates absence due to personal reasons" sqref="G4"/>
    <dataValidation allowBlank="1" showInputMessage="1" showErrorMessage="1" prompt="The letter &quot;V&quot; indicates absence due to vacation" sqref="C4"/>
    <dataValidation allowBlank="1" showInputMessage="1" showErrorMessage="1" prompt="Automatically updated title is in this cell. To modify the title, update B1 on January worksheet" sqref="B2"/>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dataValidation allowBlank="1" showInputMessage="1" showErrorMessage="1" prompt="Automatically updated year based on year entered in January worksheet" sqref="AH6"/>
    <dataValidation allowBlank="1" showInputMessage="1" showErrorMessage="1" prompt="Weekdays in this row are automatically updated for the month according to the year in AH4. Each day of the month is a column to note an employee's absence and absence type" sqref="C7"/>
    <dataValidation allowBlank="1" showInputMessage="1" showErrorMessage="1" prompt="Track March absence in this worksheet" sqref="A1"/>
    <dataValidation allowBlank="1" showInputMessage="1" showErrorMessage="1" prompt="Month name for this absence schedule is in this cell. Absence totals for this month are in last cell of the table. Select employee names in table column B" sqref="B2"/>
    <dataValidation allowBlank="1" showInputMessage="1" showErrorMessage="1" prompt="This row defines the keys used in the table: cell C4 is Vacation, G4 is Personal, &amp; K4 is Sick leave. Cells N4 &amp; R4 are customizable " sqref="B4"/>
    <dataValidation allowBlank="1" showInputMessage="1" showErrorMessage="1" prompt="Title of the worksheet is in this cell. " sqref="B1"/>
  </dataValidations>
  <printOptions horizontalCentered="1"/>
  <pageMargins left="0.25" right="0.25" top="0.75" bottom="0.75" header="0.3" footer="0.3"/>
  <pageSetup scale="43"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4C9EF80-87BE-46FA-83E0-46F2C9870B1E}">
            <x14:dataBar minLength="0" maxLength="100">
              <x14:cfvo type="autoMin"/>
              <x14:cfvo type="formula">
                <xm:f>DATEDIF(DATE(CalendarYear,2,1),DATE(CalendarYear,3,1),"d")</xm:f>
              </x14:cfvo>
              <x14:negativeFillColor rgb="FFFF0000"/>
              <x14:axisColor rgb="FF000000"/>
            </x14:dataBar>
          </x14:cfRule>
          <xm:sqref>AH9:AH21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names'!$C$5:$C$23</xm:f>
          </x14:formula1>
          <xm:sqref>B9:B19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A1:AQ27"/>
  <sheetViews>
    <sheetView showGridLines="0" zoomScale="70" zoomScaleNormal="70" workbookViewId="0">
      <selection activeCell="AC5" sqref="AC5:AH5"/>
    </sheetView>
  </sheetViews>
  <sheetFormatPr defaultColWidth="8.77734375" defaultRowHeight="30" customHeight="1"/>
  <cols>
    <col min="1" max="1" width="1" customWidth="1"/>
    <col min="2" max="2" width="18.21875" customWidth="1"/>
    <col min="3" max="33" width="4.44140625" customWidth="1"/>
    <col min="34" max="34" width="8" customWidth="1"/>
    <col min="35" max="35" width="10.77734375" customWidth="1"/>
    <col min="36" max="36" width="1.109375" customWidth="1"/>
    <col min="37" max="37" width="15.44140625" customWidth="1"/>
    <col min="38" max="38" width="12.5546875" customWidth="1"/>
    <col min="39" max="39" width="11.33203125" customWidth="1"/>
    <col min="40" max="40" width="9.88671875" customWidth="1"/>
    <col min="41" max="41" width="9.33203125" customWidth="1"/>
    <col min="42" max="42" width="11.77734375" customWidth="1"/>
    <col min="43" max="43" width="18.44140625" style="83" customWidth="1"/>
    <col min="44" max="44" width="16.109375" customWidth="1"/>
  </cols>
  <sheetData>
    <row r="1" spans="1:43" ht="24" customHeight="1">
      <c r="B1" s="24" t="s">
        <v>53</v>
      </c>
    </row>
    <row r="2" spans="1:43" ht="52.2" customHeight="1">
      <c r="B2" s="292">
        <v>45809</v>
      </c>
      <c r="C2" s="292"/>
      <c r="D2" s="292"/>
      <c r="E2" s="292"/>
      <c r="F2" s="292"/>
      <c r="G2" s="292"/>
      <c r="H2" s="292"/>
    </row>
    <row r="3" spans="1:43" ht="15" customHeight="1" thickBot="1">
      <c r="B3" s="90"/>
    </row>
    <row r="4" spans="1:43" ht="14.4" customHeight="1">
      <c r="B4" s="7" t="s">
        <v>54</v>
      </c>
      <c r="C4" s="39" t="s">
        <v>32</v>
      </c>
      <c r="D4" s="293" t="s">
        <v>37</v>
      </c>
      <c r="E4" s="293"/>
      <c r="F4" s="294"/>
      <c r="G4" s="34" t="s">
        <v>74</v>
      </c>
      <c r="H4" s="40" t="s">
        <v>73</v>
      </c>
      <c r="I4" s="41"/>
      <c r="J4" s="42"/>
      <c r="K4" s="38" t="s">
        <v>31</v>
      </c>
      <c r="L4" s="297" t="s">
        <v>75</v>
      </c>
      <c r="M4" s="297"/>
      <c r="N4" s="298"/>
      <c r="O4" s="38"/>
      <c r="P4" s="297"/>
      <c r="Q4" s="297"/>
      <c r="R4" s="298"/>
      <c r="S4" s="38"/>
      <c r="T4" s="297"/>
      <c r="U4" s="297"/>
      <c r="V4" s="297"/>
      <c r="W4" s="72" t="s">
        <v>86</v>
      </c>
      <c r="X4" s="70"/>
      <c r="Y4" s="70"/>
      <c r="Z4" s="70"/>
      <c r="AA4" s="70"/>
      <c r="AB4" s="71"/>
      <c r="AC4" s="72" t="s">
        <v>88</v>
      </c>
      <c r="AD4" s="70"/>
      <c r="AE4" s="70"/>
      <c r="AF4" s="70"/>
      <c r="AG4" s="70"/>
      <c r="AH4" s="70"/>
      <c r="AI4" s="77" t="s">
        <v>89</v>
      </c>
      <c r="AK4" s="113"/>
    </row>
    <row r="5" spans="1:43" ht="19.2" customHeight="1" thickBot="1">
      <c r="B5" s="8"/>
      <c r="C5" s="35"/>
      <c r="D5" s="36"/>
      <c r="E5" s="36"/>
      <c r="F5" s="37"/>
      <c r="G5" s="35"/>
      <c r="H5" s="295"/>
      <c r="I5" s="295"/>
      <c r="J5" s="296"/>
      <c r="K5" s="35"/>
      <c r="L5" s="295"/>
      <c r="M5" s="295"/>
      <c r="N5" s="296"/>
      <c r="O5" s="35"/>
      <c r="P5" s="295"/>
      <c r="Q5" s="295"/>
      <c r="R5" s="296"/>
      <c r="S5" s="35"/>
      <c r="T5" s="295"/>
      <c r="U5" s="295"/>
      <c r="V5" s="295"/>
      <c r="W5" s="286">
        <f>2457210+1199485</f>
        <v>3656695</v>
      </c>
      <c r="X5" s="287"/>
      <c r="Y5" s="287"/>
      <c r="Z5" s="287"/>
      <c r="AA5" s="287"/>
      <c r="AB5" s="288"/>
      <c r="AC5" s="290">
        <f>W5/June[[#Totals],[Working Day]]</f>
        <v>28128.423076923078</v>
      </c>
      <c r="AD5" s="291"/>
      <c r="AE5" s="291"/>
      <c r="AF5" s="291"/>
      <c r="AG5" s="291"/>
      <c r="AH5" s="291"/>
      <c r="AI5" s="78">
        <v>20000</v>
      </c>
      <c r="AK5" s="114"/>
    </row>
    <row r="6" spans="1:43" ht="22.8" customHeight="1">
      <c r="B6" s="6"/>
      <c r="C6" s="283"/>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29"/>
      <c r="AI6" s="6">
        <f ca="1">CalendarYear</f>
        <v>2026</v>
      </c>
      <c r="AL6" s="89"/>
      <c r="AP6" s="289"/>
      <c r="AQ6" s="289"/>
    </row>
    <row r="7" spans="1:43" ht="16.2" customHeight="1">
      <c r="B7" s="6"/>
      <c r="C7" s="21" t="str">
        <f ca="1">TEXT(WEEKDAY(DATE(CalendarYear,6,1),1),"aaa")</f>
        <v>Mon</v>
      </c>
      <c r="D7" s="21" t="str">
        <f ca="1">TEXT(WEEKDAY(DATE(CalendarYear,6,2),1),"aaa")</f>
        <v>Tue</v>
      </c>
      <c r="E7" s="21" t="str">
        <f ca="1">TEXT(WEEKDAY(DATE(CalendarYear,6,3),1),"aaa")</f>
        <v>Wed</v>
      </c>
      <c r="F7" s="21" t="str">
        <f ca="1">TEXT(WEEKDAY(DATE(CalendarYear,6,4),1),"aaa")</f>
        <v>Thu</v>
      </c>
      <c r="G7" s="21" t="str">
        <f ca="1">TEXT(WEEKDAY(DATE(CalendarYear,6,5),1),"aaa")</f>
        <v>Fri</v>
      </c>
      <c r="H7" s="21" t="str">
        <f ca="1">TEXT(WEEKDAY(DATE(CalendarYear,6,6),1),"aaa")</f>
        <v>Sat</v>
      </c>
      <c r="I7" s="21" t="str">
        <f ca="1">TEXT(WEEKDAY(DATE(CalendarYear,6,7),1),"aaa")</f>
        <v>Sun</v>
      </c>
      <c r="J7" s="21" t="str">
        <f ca="1">TEXT(WEEKDAY(DATE(CalendarYear,6,8),1),"aaa")</f>
        <v>Mon</v>
      </c>
      <c r="K7" s="21" t="str">
        <f ca="1">TEXT(WEEKDAY(DATE(CalendarYear,6,9),1),"aaa")</f>
        <v>Tue</v>
      </c>
      <c r="L7" s="21" t="str">
        <f ca="1">TEXT(WEEKDAY(DATE(CalendarYear,6,10),1),"aaa")</f>
        <v>Wed</v>
      </c>
      <c r="M7" s="21" t="str">
        <f ca="1">TEXT(WEEKDAY(DATE(CalendarYear,6,11),1),"aaa")</f>
        <v>Thu</v>
      </c>
      <c r="N7" s="21" t="str">
        <f ca="1">TEXT(WEEKDAY(DATE(CalendarYear,6,12),1),"aaa")</f>
        <v>Fri</v>
      </c>
      <c r="O7" s="21" t="str">
        <f ca="1">TEXT(WEEKDAY(DATE(CalendarYear,6,13),1),"aaa")</f>
        <v>Sat</v>
      </c>
      <c r="P7" s="21" t="str">
        <f ca="1">TEXT(WEEKDAY(DATE(CalendarYear,6,14),1),"aaa")</f>
        <v>Sun</v>
      </c>
      <c r="Q7" s="21" t="str">
        <f ca="1">TEXT(WEEKDAY(DATE(CalendarYear,6,15),1),"aaa")</f>
        <v>Mon</v>
      </c>
      <c r="R7" s="21" t="str">
        <f ca="1">TEXT(WEEKDAY(DATE(CalendarYear,6,16),1),"aaa")</f>
        <v>Tue</v>
      </c>
      <c r="S7" s="21" t="str">
        <f ca="1">TEXT(WEEKDAY(DATE(CalendarYear,6,17),1),"aaa")</f>
        <v>Wed</v>
      </c>
      <c r="T7" s="21" t="str">
        <f ca="1">TEXT(WEEKDAY(DATE(CalendarYear,6,18),1),"aaa")</f>
        <v>Thu</v>
      </c>
      <c r="U7" s="21" t="str">
        <f ca="1">TEXT(WEEKDAY(DATE(CalendarYear,6,19),1),"aaa")</f>
        <v>Fri</v>
      </c>
      <c r="V7" s="21" t="str">
        <f ca="1">TEXT(WEEKDAY(DATE(CalendarYear,6,20),1),"aaa")</f>
        <v>Sat</v>
      </c>
      <c r="W7" s="21" t="str">
        <f ca="1">TEXT(WEEKDAY(DATE(CalendarYear,6,21),1),"aaa")</f>
        <v>Sun</v>
      </c>
      <c r="X7" s="21" t="str">
        <f ca="1">TEXT(WEEKDAY(DATE(CalendarYear,6,22),1),"aaa")</f>
        <v>Mon</v>
      </c>
      <c r="Y7" s="21" t="str">
        <f ca="1">TEXT(WEEKDAY(DATE(CalendarYear,6,23),1),"aaa")</f>
        <v>Tue</v>
      </c>
      <c r="Z7" s="21" t="str">
        <f ca="1">TEXT(WEEKDAY(DATE(CalendarYear,6,24),1),"aaa")</f>
        <v>Wed</v>
      </c>
      <c r="AA7" s="21" t="str">
        <f ca="1">TEXT(WEEKDAY(DATE(CalendarYear,6,25),1),"aaa")</f>
        <v>Thu</v>
      </c>
      <c r="AB7" s="21" t="str">
        <f ca="1">TEXT(WEEKDAY(DATE(CalendarYear,6,26),1),"aaa")</f>
        <v>Fri</v>
      </c>
      <c r="AC7" s="21" t="str">
        <f ca="1">TEXT(WEEKDAY(DATE(CalendarYear,6,27),1),"aaa")</f>
        <v>Sat</v>
      </c>
      <c r="AD7" s="21" t="str">
        <f ca="1">TEXT(WEEKDAY(DATE(CalendarYear,6,28),1),"aaa")</f>
        <v>Sun</v>
      </c>
      <c r="AE7" s="21" t="str">
        <f ca="1">TEXT(WEEKDAY(DATE(CalendarYear,6,29),1),"aaa")</f>
        <v>Mon</v>
      </c>
      <c r="AF7" s="21" t="str">
        <f ca="1">TEXT(WEEKDAY(DATE(CalendarYear,6,30),1),"aaa")</f>
        <v>Tue</v>
      </c>
      <c r="AG7" s="21"/>
      <c r="AH7" s="21"/>
      <c r="AI7" s="6"/>
      <c r="AP7" s="289"/>
      <c r="AQ7" s="289"/>
    </row>
    <row r="8" spans="1:43" ht="18" customHeight="1">
      <c r="B8" s="20" t="s">
        <v>61</v>
      </c>
      <c r="C8" s="59" t="s">
        <v>0</v>
      </c>
      <c r="D8" s="1" t="s">
        <v>1</v>
      </c>
      <c r="E8" s="1" t="s">
        <v>2</v>
      </c>
      <c r="F8" s="1" t="s">
        <v>3</v>
      </c>
      <c r="G8" s="1" t="s">
        <v>4</v>
      </c>
      <c r="H8" s="1" t="s">
        <v>5</v>
      </c>
      <c r="I8" s="1" t="s">
        <v>6</v>
      </c>
      <c r="J8" s="59" t="s">
        <v>7</v>
      </c>
      <c r="K8" s="1" t="s">
        <v>8</v>
      </c>
      <c r="L8" s="1" t="s">
        <v>9</v>
      </c>
      <c r="M8" s="1" t="s">
        <v>10</v>
      </c>
      <c r="N8" s="1" t="s">
        <v>11</v>
      </c>
      <c r="O8" s="1" t="s">
        <v>12</v>
      </c>
      <c r="P8" s="1" t="s">
        <v>13</v>
      </c>
      <c r="Q8" s="59" t="s">
        <v>14</v>
      </c>
      <c r="R8" s="1" t="s">
        <v>15</v>
      </c>
      <c r="S8" s="1" t="s">
        <v>16</v>
      </c>
      <c r="T8" s="1" t="s">
        <v>17</v>
      </c>
      <c r="U8" s="1" t="s">
        <v>18</v>
      </c>
      <c r="V8" s="1" t="s">
        <v>19</v>
      </c>
      <c r="W8" s="1" t="s">
        <v>20</v>
      </c>
      <c r="X8" s="59" t="s">
        <v>21</v>
      </c>
      <c r="Y8" s="1" t="s">
        <v>22</v>
      </c>
      <c r="Z8" s="1" t="s">
        <v>23</v>
      </c>
      <c r="AA8" s="1" t="s">
        <v>24</v>
      </c>
      <c r="AB8" s="1" t="s">
        <v>25</v>
      </c>
      <c r="AC8" s="1" t="s">
        <v>26</v>
      </c>
      <c r="AD8" s="1" t="s">
        <v>27</v>
      </c>
      <c r="AE8" s="59" t="s">
        <v>28</v>
      </c>
      <c r="AF8" s="1" t="s">
        <v>29</v>
      </c>
      <c r="AG8" s="1" t="s">
        <v>33</v>
      </c>
      <c r="AH8" s="1" t="s">
        <v>90</v>
      </c>
      <c r="AI8" s="1" t="s">
        <v>80</v>
      </c>
      <c r="AK8" s="75" t="s">
        <v>87</v>
      </c>
      <c r="AL8" s="53" t="s">
        <v>76</v>
      </c>
      <c r="AM8" s="54" t="s">
        <v>77</v>
      </c>
      <c r="AN8" s="54" t="s">
        <v>78</v>
      </c>
      <c r="AO8" s="64" t="s">
        <v>81</v>
      </c>
      <c r="AP8" s="73" t="s">
        <v>85</v>
      </c>
      <c r="AQ8" s="87" t="s">
        <v>92</v>
      </c>
    </row>
    <row r="9" spans="1:43" ht="18" customHeight="1">
      <c r="B9" s="2" t="s">
        <v>71</v>
      </c>
      <c r="C9" s="60" t="s">
        <v>72</v>
      </c>
      <c r="D9" s="33" t="s">
        <v>72</v>
      </c>
      <c r="E9" s="33" t="s">
        <v>72</v>
      </c>
      <c r="F9" s="33" t="s">
        <v>72</v>
      </c>
      <c r="G9" s="33" t="s">
        <v>72</v>
      </c>
      <c r="H9" s="33" t="s">
        <v>72</v>
      </c>
      <c r="I9" s="33" t="s">
        <v>72</v>
      </c>
      <c r="J9" s="59"/>
      <c r="K9" s="1" t="s">
        <v>72</v>
      </c>
      <c r="L9" s="1" t="s">
        <v>72</v>
      </c>
      <c r="M9" s="1" t="s">
        <v>72</v>
      </c>
      <c r="N9" s="1" t="s">
        <v>72</v>
      </c>
      <c r="O9" s="1" t="s">
        <v>72</v>
      </c>
      <c r="P9" s="1" t="s">
        <v>72</v>
      </c>
      <c r="Q9" s="59"/>
      <c r="R9" s="1" t="s">
        <v>72</v>
      </c>
      <c r="S9" s="1" t="s">
        <v>72</v>
      </c>
      <c r="T9" s="1" t="s">
        <v>72</v>
      </c>
      <c r="U9" s="1" t="s">
        <v>72</v>
      </c>
      <c r="V9" s="1" t="s">
        <v>72</v>
      </c>
      <c r="W9" s="1" t="s">
        <v>72</v>
      </c>
      <c r="X9" s="59"/>
      <c r="Y9" s="1" t="s">
        <v>72</v>
      </c>
      <c r="Z9" s="1" t="s">
        <v>72</v>
      </c>
      <c r="AA9" s="1" t="s">
        <v>72</v>
      </c>
      <c r="AB9" s="1" t="s">
        <v>72</v>
      </c>
      <c r="AC9" s="1" t="s">
        <v>72</v>
      </c>
      <c r="AD9" s="81"/>
      <c r="AE9" s="59"/>
      <c r="AF9" s="1" t="s">
        <v>72</v>
      </c>
      <c r="AG9" s="1"/>
      <c r="AH9" s="1"/>
      <c r="AI9" s="3"/>
      <c r="AK9" s="76"/>
      <c r="AL9" s="76"/>
      <c r="AM9" s="76"/>
      <c r="AN9" s="76"/>
      <c r="AO9" s="76"/>
      <c r="AP9" s="76">
        <f>$AC$5*June[[#This Row],[Working Day]]</f>
        <v>0</v>
      </c>
      <c r="AQ9" s="87"/>
    </row>
    <row r="10" spans="1:43" ht="18" customHeight="1">
      <c r="B10" s="2" t="s">
        <v>64</v>
      </c>
      <c r="C10" s="59" t="s">
        <v>72</v>
      </c>
      <c r="D10" s="1" t="s">
        <v>72</v>
      </c>
      <c r="E10" s="1" t="s">
        <v>72</v>
      </c>
      <c r="F10" s="1" t="s">
        <v>72</v>
      </c>
      <c r="G10" s="1" t="s">
        <v>72</v>
      </c>
      <c r="H10" s="1" t="s">
        <v>72</v>
      </c>
      <c r="I10" s="1" t="s">
        <v>72</v>
      </c>
      <c r="J10" s="59" t="s">
        <v>72</v>
      </c>
      <c r="K10" s="1" t="s">
        <v>72</v>
      </c>
      <c r="L10" s="1" t="s">
        <v>72</v>
      </c>
      <c r="M10" s="1" t="s">
        <v>72</v>
      </c>
      <c r="N10" s="1" t="s">
        <v>72</v>
      </c>
      <c r="O10" s="1" t="s">
        <v>72</v>
      </c>
      <c r="P10" s="81"/>
      <c r="Q10" s="59"/>
      <c r="R10" s="1" t="s">
        <v>72</v>
      </c>
      <c r="S10" s="1" t="s">
        <v>72</v>
      </c>
      <c r="T10" s="1" t="s">
        <v>72</v>
      </c>
      <c r="U10" s="1" t="s">
        <v>72</v>
      </c>
      <c r="V10" s="1" t="s">
        <v>72</v>
      </c>
      <c r="W10" s="81"/>
      <c r="X10" s="59"/>
      <c r="Y10" s="1"/>
      <c r="Z10" s="1"/>
      <c r="AA10" s="1"/>
      <c r="AB10" s="1"/>
      <c r="AC10" s="1"/>
      <c r="AD10" s="81"/>
      <c r="AE10" s="59"/>
      <c r="AF10" s="1"/>
      <c r="AG10" s="1"/>
      <c r="AH10" s="1"/>
      <c r="AI10" s="3">
        <f>COUNTA(June[[#This Row],[1]:[ ]])</f>
        <v>18</v>
      </c>
      <c r="AK10" s="76">
        <f>SUM(AL10:AP10)</f>
        <v>6016311.615384615</v>
      </c>
      <c r="AL10" s="76">
        <v>5150000</v>
      </c>
      <c r="AM10" s="76">
        <f>$AI$5*June[[#This Row],[Working Day]]</f>
        <v>360000</v>
      </c>
      <c r="AN10" s="76"/>
      <c r="AO10" s="76"/>
      <c r="AP10" s="115">
        <f>$AC$5*June[[#This Row],[Working Day]]</f>
        <v>506311.61538461538</v>
      </c>
      <c r="AQ10" s="87"/>
    </row>
    <row r="11" spans="1:43" ht="18" customHeight="1">
      <c r="A11" t="s">
        <v>93</v>
      </c>
      <c r="B11" s="2" t="s">
        <v>65</v>
      </c>
      <c r="C11" s="59" t="s">
        <v>72</v>
      </c>
      <c r="D11" s="1" t="s">
        <v>72</v>
      </c>
      <c r="E11" s="1" t="s">
        <v>72</v>
      </c>
      <c r="F11" s="1" t="s">
        <v>72</v>
      </c>
      <c r="G11" s="1" t="s">
        <v>72</v>
      </c>
      <c r="H11" s="1" t="s">
        <v>72</v>
      </c>
      <c r="I11" s="1" t="s">
        <v>72</v>
      </c>
      <c r="J11" s="59" t="s">
        <v>72</v>
      </c>
      <c r="K11" s="1" t="s">
        <v>72</v>
      </c>
      <c r="L11" s="1" t="s">
        <v>72</v>
      </c>
      <c r="M11" s="1" t="s">
        <v>72</v>
      </c>
      <c r="N11" s="1" t="s">
        <v>72</v>
      </c>
      <c r="O11" s="1" t="s">
        <v>72</v>
      </c>
      <c r="P11" s="1" t="s">
        <v>72</v>
      </c>
      <c r="Q11" s="59"/>
      <c r="R11" s="1" t="s">
        <v>72</v>
      </c>
      <c r="S11" s="1" t="s">
        <v>72</v>
      </c>
      <c r="T11" s="1" t="s">
        <v>72</v>
      </c>
      <c r="U11" s="1" t="s">
        <v>72</v>
      </c>
      <c r="V11" s="1" t="s">
        <v>72</v>
      </c>
      <c r="W11" s="1" t="s">
        <v>72</v>
      </c>
      <c r="X11" s="59"/>
      <c r="Y11" s="1" t="s">
        <v>72</v>
      </c>
      <c r="Z11" s="1" t="s">
        <v>72</v>
      </c>
      <c r="AA11" s="1" t="s">
        <v>72</v>
      </c>
      <c r="AB11" s="1" t="s">
        <v>72</v>
      </c>
      <c r="AC11" s="1" t="s">
        <v>72</v>
      </c>
      <c r="AD11" s="81"/>
      <c r="AE11" s="59"/>
      <c r="AF11" s="1" t="s">
        <v>72</v>
      </c>
      <c r="AG11" s="1"/>
      <c r="AH11" s="1"/>
      <c r="AI11" s="3">
        <f>COUNTA(June[[#This Row],[1]:[ ]])</f>
        <v>26</v>
      </c>
      <c r="AK11" s="76">
        <f t="shared" ref="AK11:AK20" si="0">SUM(AL11:AP11)</f>
        <v>6801339</v>
      </c>
      <c r="AL11" s="76">
        <v>5500000</v>
      </c>
      <c r="AM11" s="76">
        <f>$AI$5*June[[#This Row],[Working Day]]</f>
        <v>520000</v>
      </c>
      <c r="AN11" s="76">
        <v>50000</v>
      </c>
      <c r="AO11" s="76"/>
      <c r="AP11" s="115">
        <f>$AC$5*June[[#This Row],[Working Day]]</f>
        <v>731339</v>
      </c>
      <c r="AQ11" s="87">
        <v>2550000</v>
      </c>
    </row>
    <row r="12" spans="1:43" ht="18" customHeight="1">
      <c r="B12" s="2" t="s">
        <v>66</v>
      </c>
      <c r="C12" s="59" t="s">
        <v>72</v>
      </c>
      <c r="D12" s="1" t="s">
        <v>72</v>
      </c>
      <c r="E12" s="1" t="s">
        <v>72</v>
      </c>
      <c r="F12" s="1" t="s">
        <v>72</v>
      </c>
      <c r="G12" s="1" t="s">
        <v>72</v>
      </c>
      <c r="H12" s="1" t="s">
        <v>72</v>
      </c>
      <c r="I12" s="1" t="s">
        <v>72</v>
      </c>
      <c r="J12" s="59" t="s">
        <v>72</v>
      </c>
      <c r="K12" s="1" t="s">
        <v>72</v>
      </c>
      <c r="L12" s="1" t="s">
        <v>72</v>
      </c>
      <c r="M12" s="1" t="s">
        <v>72</v>
      </c>
      <c r="N12" s="1" t="s">
        <v>72</v>
      </c>
      <c r="O12" s="1" t="s">
        <v>72</v>
      </c>
      <c r="P12" s="81"/>
      <c r="Q12" s="59"/>
      <c r="R12" s="1" t="s">
        <v>72</v>
      </c>
      <c r="S12" s="1" t="s">
        <v>72</v>
      </c>
      <c r="T12" s="1" t="s">
        <v>72</v>
      </c>
      <c r="U12" s="1" t="s">
        <v>72</v>
      </c>
      <c r="V12" s="1" t="s">
        <v>72</v>
      </c>
      <c r="W12" s="81"/>
      <c r="X12" s="59"/>
      <c r="Y12" s="1" t="s">
        <v>72</v>
      </c>
      <c r="Z12" s="1" t="s">
        <v>72</v>
      </c>
      <c r="AA12" s="1" t="s">
        <v>72</v>
      </c>
      <c r="AB12" s="1" t="s">
        <v>72</v>
      </c>
      <c r="AC12" s="1" t="s">
        <v>72</v>
      </c>
      <c r="AD12" s="81"/>
      <c r="AE12" s="59"/>
      <c r="AF12" s="1" t="s">
        <v>72</v>
      </c>
      <c r="AG12" s="1"/>
      <c r="AH12" s="1"/>
      <c r="AI12" s="3">
        <f>COUNTA(June[[#This Row],[1]:[ ]])</f>
        <v>24</v>
      </c>
      <c r="AK12" s="76">
        <f t="shared" si="0"/>
        <v>4705082.153846154</v>
      </c>
      <c r="AL12" s="76">
        <v>3500000</v>
      </c>
      <c r="AM12" s="76">
        <f>$AI$5*June[[#This Row],[Working Day]]</f>
        <v>480000</v>
      </c>
      <c r="AN12" s="76">
        <v>50000</v>
      </c>
      <c r="AO12" s="76"/>
      <c r="AP12" s="115">
        <f>$AC$5*June[[#This Row],[Working Day]]</f>
        <v>675082.15384615387</v>
      </c>
      <c r="AQ12" s="87">
        <v>2000000</v>
      </c>
    </row>
    <row r="13" spans="1:43" ht="18" customHeight="1">
      <c r="B13" s="2" t="s">
        <v>67</v>
      </c>
      <c r="C13" s="80"/>
      <c r="D13" s="81"/>
      <c r="E13" s="81"/>
      <c r="F13" s="81"/>
      <c r="G13" s="81"/>
      <c r="H13" s="81"/>
      <c r="I13" s="81"/>
      <c r="J13" s="59"/>
      <c r="K13" s="81"/>
      <c r="L13" s="81"/>
      <c r="M13" s="81"/>
      <c r="N13" s="81"/>
      <c r="O13" s="81"/>
      <c r="P13" s="81"/>
      <c r="Q13" s="59"/>
      <c r="R13" s="81"/>
      <c r="S13" s="81"/>
      <c r="T13" s="81"/>
      <c r="U13" s="81"/>
      <c r="V13" s="81"/>
      <c r="W13" s="81"/>
      <c r="X13" s="59"/>
      <c r="Y13" s="81"/>
      <c r="Z13" s="81"/>
      <c r="AA13" s="81"/>
      <c r="AB13" s="81"/>
      <c r="AC13" s="81"/>
      <c r="AD13" s="81"/>
      <c r="AE13" s="59"/>
      <c r="AF13" s="81"/>
      <c r="AG13" s="1"/>
      <c r="AH13" s="1"/>
      <c r="AI13" s="3">
        <f>COUNTA(June[[#This Row],[1]:[ ]])</f>
        <v>0</v>
      </c>
      <c r="AK13" s="76">
        <f>SUM(AL13:AP13)</f>
        <v>0</v>
      </c>
      <c r="AL13" s="76"/>
      <c r="AM13" s="76">
        <f>$AI$5*June[[#This Row],[Working Day]]</f>
        <v>0</v>
      </c>
      <c r="AN13" s="76"/>
      <c r="AO13" s="76"/>
      <c r="AP13" s="76">
        <f>$AC$5*June[[#This Row],[Working Day]]</f>
        <v>0</v>
      </c>
      <c r="AQ13" s="87"/>
    </row>
    <row r="14" spans="1:43" ht="18" customHeight="1">
      <c r="B14" s="31" t="s">
        <v>68</v>
      </c>
      <c r="C14" s="59"/>
      <c r="D14" s="1" t="s">
        <v>72</v>
      </c>
      <c r="E14" s="1" t="s">
        <v>72</v>
      </c>
      <c r="F14" s="1" t="s">
        <v>72</v>
      </c>
      <c r="G14" s="1" t="s">
        <v>72</v>
      </c>
      <c r="H14" s="1" t="s">
        <v>72</v>
      </c>
      <c r="I14" s="1" t="s">
        <v>72</v>
      </c>
      <c r="J14" s="59"/>
      <c r="K14" s="1" t="s">
        <v>72</v>
      </c>
      <c r="L14" s="1" t="s">
        <v>72</v>
      </c>
      <c r="M14" s="1" t="s">
        <v>72</v>
      </c>
      <c r="N14" s="1" t="s">
        <v>72</v>
      </c>
      <c r="O14" s="1" t="s">
        <v>72</v>
      </c>
      <c r="P14" s="1" t="s">
        <v>72</v>
      </c>
      <c r="Q14" s="59"/>
      <c r="R14" s="1" t="s">
        <v>72</v>
      </c>
      <c r="S14" s="1" t="s">
        <v>72</v>
      </c>
      <c r="T14" s="1" t="s">
        <v>72</v>
      </c>
      <c r="U14" s="1" t="s">
        <v>72</v>
      </c>
      <c r="V14" s="1" t="s">
        <v>72</v>
      </c>
      <c r="W14" s="1" t="s">
        <v>72</v>
      </c>
      <c r="X14" s="59"/>
      <c r="Y14" s="1" t="s">
        <v>72</v>
      </c>
      <c r="Z14" s="1" t="s">
        <v>72</v>
      </c>
      <c r="AA14" s="1" t="s">
        <v>72</v>
      </c>
      <c r="AB14" s="1" t="s">
        <v>72</v>
      </c>
      <c r="AC14" s="1" t="s">
        <v>72</v>
      </c>
      <c r="AD14" s="81"/>
      <c r="AE14" s="59"/>
      <c r="AF14" s="81"/>
      <c r="AG14" s="32"/>
      <c r="AH14" s="32"/>
      <c r="AI14" s="3">
        <f>COUNTA(June[[#This Row],[1]:[ ]])</f>
        <v>23</v>
      </c>
      <c r="AK14" s="76">
        <f t="shared" si="0"/>
        <v>6306953.730769231</v>
      </c>
      <c r="AL14" s="76">
        <v>5150000</v>
      </c>
      <c r="AM14" s="76">
        <f>$AI$5*June[[#This Row],[Working Day]]</f>
        <v>460000</v>
      </c>
      <c r="AN14" s="76">
        <v>50000</v>
      </c>
      <c r="AO14" s="76"/>
      <c r="AP14" s="115">
        <f>$AC$5*June[[#This Row],[Working Day]]</f>
        <v>646953.73076923075</v>
      </c>
      <c r="AQ14" s="87"/>
    </row>
    <row r="15" spans="1:43" ht="18" customHeight="1">
      <c r="B15" s="31" t="s">
        <v>69</v>
      </c>
      <c r="C15" s="59"/>
      <c r="D15" s="1" t="s">
        <v>72</v>
      </c>
      <c r="E15" s="1" t="s">
        <v>72</v>
      </c>
      <c r="F15" s="1" t="s">
        <v>72</v>
      </c>
      <c r="G15" s="1" t="s">
        <v>72</v>
      </c>
      <c r="H15" s="81"/>
      <c r="I15" s="1" t="s">
        <v>72</v>
      </c>
      <c r="J15" s="59"/>
      <c r="K15" s="1" t="s">
        <v>72</v>
      </c>
      <c r="L15" s="1" t="s">
        <v>72</v>
      </c>
      <c r="M15" s="1" t="s">
        <v>72</v>
      </c>
      <c r="N15" s="1" t="s">
        <v>72</v>
      </c>
      <c r="O15" s="1" t="s">
        <v>72</v>
      </c>
      <c r="P15" s="1" t="s">
        <v>72</v>
      </c>
      <c r="Q15" s="59"/>
      <c r="R15" s="1" t="s">
        <v>72</v>
      </c>
      <c r="S15" s="1" t="s">
        <v>72</v>
      </c>
      <c r="T15" s="1" t="s">
        <v>72</v>
      </c>
      <c r="U15" s="1" t="s">
        <v>72</v>
      </c>
      <c r="V15" s="81"/>
      <c r="W15" s="1" t="s">
        <v>72</v>
      </c>
      <c r="X15" s="59"/>
      <c r="Y15" s="1" t="s">
        <v>72</v>
      </c>
      <c r="Z15" s="1" t="s">
        <v>72</v>
      </c>
      <c r="AA15" s="1" t="s">
        <v>72</v>
      </c>
      <c r="AB15" s="1" t="s">
        <v>72</v>
      </c>
      <c r="AC15" s="1" t="s">
        <v>72</v>
      </c>
      <c r="AD15" s="81"/>
      <c r="AE15" s="59"/>
      <c r="AF15" s="1" t="s">
        <v>72</v>
      </c>
      <c r="AG15" s="32"/>
      <c r="AH15" s="32"/>
      <c r="AI15" s="3">
        <f>COUNTA(June[[#This Row],[1]:[ ]])</f>
        <v>22</v>
      </c>
      <c r="AK15" s="76">
        <f>SUM(AL15:AP15)</f>
        <v>5608825.307692308</v>
      </c>
      <c r="AL15" s="76">
        <v>4500000</v>
      </c>
      <c r="AM15" s="76">
        <f>$AI$5*June[[#This Row],[Working Day]]</f>
        <v>440000</v>
      </c>
      <c r="AN15" s="76">
        <v>50000</v>
      </c>
      <c r="AO15" s="76"/>
      <c r="AP15" s="115">
        <f>$AC$5*June[[#This Row],[Working Day]]</f>
        <v>618825.30769230775</v>
      </c>
      <c r="AQ15" s="87">
        <v>1000000</v>
      </c>
    </row>
    <row r="16" spans="1:43" ht="18" customHeight="1">
      <c r="B16" s="88" t="s">
        <v>91</v>
      </c>
      <c r="C16" s="59"/>
      <c r="D16" s="1"/>
      <c r="E16" s="1"/>
      <c r="F16" s="1"/>
      <c r="G16" s="1"/>
      <c r="H16" s="1"/>
      <c r="I16" s="1"/>
      <c r="J16" s="59"/>
      <c r="K16" s="1" t="s">
        <v>72</v>
      </c>
      <c r="L16" s="1" t="s">
        <v>72</v>
      </c>
      <c r="M16" s="1" t="s">
        <v>72</v>
      </c>
      <c r="N16" s="1" t="s">
        <v>72</v>
      </c>
      <c r="O16" s="1" t="s">
        <v>72</v>
      </c>
      <c r="P16" s="1" t="s">
        <v>72</v>
      </c>
      <c r="Q16" s="59"/>
      <c r="R16" s="1" t="s">
        <v>72</v>
      </c>
      <c r="S16" s="1" t="s">
        <v>72</v>
      </c>
      <c r="T16" s="1" t="s">
        <v>72</v>
      </c>
      <c r="U16" s="1" t="s">
        <v>72</v>
      </c>
      <c r="V16" s="1" t="s">
        <v>72</v>
      </c>
      <c r="W16" s="81"/>
      <c r="X16" s="59"/>
      <c r="Y16" s="1" t="s">
        <v>72</v>
      </c>
      <c r="Z16" s="1" t="s">
        <v>72</v>
      </c>
      <c r="AA16" s="1" t="s">
        <v>72</v>
      </c>
      <c r="AB16" s="1" t="s">
        <v>72</v>
      </c>
      <c r="AC16" s="1" t="s">
        <v>72</v>
      </c>
      <c r="AD16" s="81"/>
      <c r="AE16" s="59"/>
      <c r="AF16" s="1" t="s">
        <v>72</v>
      </c>
      <c r="AG16" s="32"/>
      <c r="AH16" s="32"/>
      <c r="AI16" s="3">
        <f>COUNTA(June[[#This Row],[1]:[ ]])</f>
        <v>17</v>
      </c>
      <c r="AK16" s="76">
        <f t="shared" si="0"/>
        <v>3538183.1923076925</v>
      </c>
      <c r="AL16" s="76">
        <f>(4000000*17)/25</f>
        <v>2720000</v>
      </c>
      <c r="AM16" s="76">
        <f>$AI$5*June[[#This Row],[Working Day]]</f>
        <v>340000</v>
      </c>
      <c r="AN16" s="76"/>
      <c r="AO16" s="76"/>
      <c r="AP16" s="115">
        <f>$AC$5*June[[#This Row],[Working Day]]</f>
        <v>478183.19230769231</v>
      </c>
      <c r="AQ16" s="87">
        <v>500000</v>
      </c>
    </row>
    <row r="17" spans="2:43" ht="18" customHeight="1">
      <c r="B17" s="31"/>
      <c r="C17" s="59"/>
      <c r="D17" s="1"/>
      <c r="E17" s="1"/>
      <c r="F17" s="1"/>
      <c r="G17" s="1"/>
      <c r="H17" s="1"/>
      <c r="I17" s="1"/>
      <c r="J17" s="59"/>
      <c r="K17" s="1"/>
      <c r="L17" s="1"/>
      <c r="M17" s="1"/>
      <c r="N17" s="1"/>
      <c r="O17" s="1"/>
      <c r="P17" s="1"/>
      <c r="Q17" s="59"/>
      <c r="R17" s="1"/>
      <c r="S17" s="1"/>
      <c r="T17" s="1"/>
      <c r="U17" s="1"/>
      <c r="V17" s="1"/>
      <c r="W17" s="1"/>
      <c r="X17" s="59"/>
      <c r="Y17" s="1"/>
      <c r="Z17" s="1"/>
      <c r="AA17" s="1"/>
      <c r="AB17" s="1"/>
      <c r="AC17" s="1"/>
      <c r="AD17" s="1"/>
      <c r="AE17" s="59"/>
      <c r="AF17" s="1"/>
      <c r="AG17" s="32"/>
      <c r="AH17" s="32"/>
      <c r="AI17" s="3">
        <f>COUNTA(June[[#This Row],[1]:[ ]])</f>
        <v>0</v>
      </c>
      <c r="AK17" s="76">
        <f t="shared" si="0"/>
        <v>0</v>
      </c>
      <c r="AL17" s="76"/>
      <c r="AM17" s="76">
        <f>$AI$5*June[[#This Row],[Working Day]]</f>
        <v>0</v>
      </c>
      <c r="AN17" s="76"/>
      <c r="AO17" s="76"/>
      <c r="AP17" s="76">
        <f>$AC$5*June[[#This Row],[Working Day]]</f>
        <v>0</v>
      </c>
      <c r="AQ17" s="87"/>
    </row>
    <row r="18" spans="2:43" ht="18" customHeight="1">
      <c r="B18" s="31"/>
      <c r="C18" s="59"/>
      <c r="D18" s="1"/>
      <c r="E18" s="1"/>
      <c r="F18" s="1"/>
      <c r="G18" s="1"/>
      <c r="H18" s="1"/>
      <c r="I18" s="1"/>
      <c r="J18" s="59"/>
      <c r="K18" s="1"/>
      <c r="L18" s="1"/>
      <c r="M18" s="1"/>
      <c r="N18" s="1"/>
      <c r="O18" s="1"/>
      <c r="P18" s="1"/>
      <c r="Q18" s="59"/>
      <c r="R18" s="1"/>
      <c r="S18" s="1"/>
      <c r="T18" s="1"/>
      <c r="U18" s="1"/>
      <c r="V18" s="1"/>
      <c r="W18" s="1"/>
      <c r="X18" s="59"/>
      <c r="Y18" s="1"/>
      <c r="Z18" s="1"/>
      <c r="AA18" s="1"/>
      <c r="AB18" s="1"/>
      <c r="AC18" s="1"/>
      <c r="AD18" s="1"/>
      <c r="AE18" s="59"/>
      <c r="AF18" s="1"/>
      <c r="AG18" s="32"/>
      <c r="AH18" s="32"/>
      <c r="AI18" s="3">
        <f>COUNTA(June[[#This Row],[1]:[ ]])</f>
        <v>0</v>
      </c>
      <c r="AK18" s="76">
        <f t="shared" si="0"/>
        <v>0</v>
      </c>
      <c r="AL18" s="76"/>
      <c r="AM18" s="76">
        <f>$AI$5*June[[#This Row],[Working Day]]</f>
        <v>0</v>
      </c>
      <c r="AN18" s="76"/>
      <c r="AO18" s="76"/>
      <c r="AP18" s="76">
        <f>$AC$5*June[[#This Row],[Working Day]]</f>
        <v>0</v>
      </c>
      <c r="AQ18" s="87"/>
    </row>
    <row r="19" spans="2:43" ht="18" customHeight="1">
      <c r="B19" s="31"/>
      <c r="C19" s="59"/>
      <c r="D19" s="1"/>
      <c r="E19" s="1"/>
      <c r="F19" s="1"/>
      <c r="G19" s="1"/>
      <c r="H19" s="1"/>
      <c r="I19" s="1"/>
      <c r="J19" s="59"/>
      <c r="K19" s="1"/>
      <c r="L19" s="1"/>
      <c r="M19" s="1"/>
      <c r="N19" s="1"/>
      <c r="O19" s="1"/>
      <c r="P19" s="1"/>
      <c r="Q19" s="59"/>
      <c r="R19" s="1"/>
      <c r="S19" s="1"/>
      <c r="T19" s="1"/>
      <c r="U19" s="1"/>
      <c r="V19" s="1"/>
      <c r="W19" s="1"/>
      <c r="X19" s="59"/>
      <c r="Y19" s="1"/>
      <c r="Z19" s="1"/>
      <c r="AA19" s="1"/>
      <c r="AB19" s="1"/>
      <c r="AC19" s="1"/>
      <c r="AD19" s="1"/>
      <c r="AE19" s="59"/>
      <c r="AF19" s="1"/>
      <c r="AG19" s="32"/>
      <c r="AH19" s="32"/>
      <c r="AI19" s="3">
        <f>COUNTA(June[[#This Row],[1]:[ ]])</f>
        <v>0</v>
      </c>
      <c r="AK19" s="76">
        <f t="shared" si="0"/>
        <v>0</v>
      </c>
      <c r="AL19" s="76"/>
      <c r="AM19" s="76">
        <f>$AI$5*June[[#This Row],[Working Day]]</f>
        <v>0</v>
      </c>
      <c r="AN19" s="76"/>
      <c r="AO19" s="76"/>
      <c r="AP19" s="76">
        <f>$AC$5*June[[#This Row],[Working Day]]</f>
        <v>0</v>
      </c>
      <c r="AQ19" s="87"/>
    </row>
    <row r="20" spans="2:43" ht="18" customHeight="1">
      <c r="B20" s="31"/>
      <c r="C20" s="59"/>
      <c r="D20" s="1"/>
      <c r="E20" s="1"/>
      <c r="F20" s="1"/>
      <c r="G20" s="1"/>
      <c r="H20" s="1"/>
      <c r="I20" s="1"/>
      <c r="J20" s="59"/>
      <c r="K20" s="1"/>
      <c r="L20" s="1"/>
      <c r="M20" s="1"/>
      <c r="N20" s="1"/>
      <c r="O20" s="1"/>
      <c r="P20" s="1"/>
      <c r="Q20" s="59"/>
      <c r="R20" s="1"/>
      <c r="S20" s="1"/>
      <c r="T20" s="1"/>
      <c r="U20" s="1"/>
      <c r="V20" s="1"/>
      <c r="W20" s="1"/>
      <c r="X20" s="59"/>
      <c r="Y20" s="1"/>
      <c r="Z20" s="1"/>
      <c r="AA20" s="1"/>
      <c r="AB20" s="1"/>
      <c r="AC20" s="1"/>
      <c r="AD20" s="1"/>
      <c r="AE20" s="59"/>
      <c r="AF20" s="1"/>
      <c r="AG20" s="32"/>
      <c r="AH20" s="32"/>
      <c r="AI20" s="3">
        <f>COUNTA(June[[#This Row],[1]:[ ]])</f>
        <v>0</v>
      </c>
      <c r="AK20" s="76">
        <f t="shared" si="0"/>
        <v>0</v>
      </c>
      <c r="AL20" s="76"/>
      <c r="AM20" s="76">
        <f>$AI$5*June[[#This Row],[Working Day]]</f>
        <v>0</v>
      </c>
      <c r="AN20" s="76"/>
      <c r="AO20" s="76"/>
      <c r="AP20" s="76">
        <f>$AC$5*June[[#This Row],[Working Day]]</f>
        <v>0</v>
      </c>
      <c r="AQ20" s="87"/>
    </row>
    <row r="21" spans="2:43" ht="18" customHeight="1">
      <c r="B21" s="5" t="str">
        <f>MonthName&amp;" Total"</f>
        <v>45809 Total</v>
      </c>
      <c r="C21" s="4">
        <f>SUBTOTAL(103,June[1])</f>
        <v>4</v>
      </c>
      <c r="D21" s="4">
        <f>SUBTOTAL(103,June[2])</f>
        <v>6</v>
      </c>
      <c r="E21" s="4">
        <f>SUBTOTAL(103,June[3])</f>
        <v>6</v>
      </c>
      <c r="F21" s="4">
        <f>SUBTOTAL(103,June[4])</f>
        <v>6</v>
      </c>
      <c r="G21" s="4">
        <f>SUBTOTAL(103,June[5])</f>
        <v>6</v>
      </c>
      <c r="H21" s="4">
        <f>SUBTOTAL(103,June[6])</f>
        <v>5</v>
      </c>
      <c r="I21" s="4">
        <f>SUBTOTAL(103,June[7])</f>
        <v>6</v>
      </c>
      <c r="J21" s="61">
        <f>SUBTOTAL(103,June[8])</f>
        <v>3</v>
      </c>
      <c r="K21" s="4">
        <f>SUBTOTAL(103,June[9])</f>
        <v>7</v>
      </c>
      <c r="L21" s="4">
        <f>SUBTOTAL(103,June[10])</f>
        <v>7</v>
      </c>
      <c r="M21" s="4">
        <f>SUBTOTAL(103,June[11])</f>
        <v>7</v>
      </c>
      <c r="N21" s="4">
        <f>SUBTOTAL(103,June[12])</f>
        <v>7</v>
      </c>
      <c r="O21" s="4">
        <f>SUBTOTAL(103,June[13])</f>
        <v>7</v>
      </c>
      <c r="P21" s="4">
        <f>SUBTOTAL(103,June[14])</f>
        <v>5</v>
      </c>
      <c r="Q21" s="61">
        <f>SUBTOTAL(103,June[15])</f>
        <v>0</v>
      </c>
      <c r="R21" s="4">
        <f>SUBTOTAL(103,June[16])</f>
        <v>7</v>
      </c>
      <c r="S21" s="4">
        <f>SUBTOTAL(103,June[17])</f>
        <v>7</v>
      </c>
      <c r="T21" s="4">
        <f>SUBTOTAL(103,June[18])</f>
        <v>7</v>
      </c>
      <c r="U21" s="4">
        <f>SUBTOTAL(103,June[19])</f>
        <v>7</v>
      </c>
      <c r="V21" s="4">
        <f>SUBTOTAL(103,June[20])</f>
        <v>6</v>
      </c>
      <c r="W21" s="4">
        <f>SUBTOTAL(103,June[21])</f>
        <v>4</v>
      </c>
      <c r="X21" s="61">
        <f>SUBTOTAL(103,June[22])</f>
        <v>0</v>
      </c>
      <c r="Y21" s="4">
        <f>SUBTOTAL(103,June[23])</f>
        <v>6</v>
      </c>
      <c r="Z21" s="4">
        <f>SUBTOTAL(103,June[24])</f>
        <v>6</v>
      </c>
      <c r="AA21" s="4">
        <f>SUBTOTAL(103,June[25])</f>
        <v>6</v>
      </c>
      <c r="AB21" s="4">
        <f>SUBTOTAL(103,June[26])</f>
        <v>6</v>
      </c>
      <c r="AC21" s="4">
        <f>SUBTOTAL(103,June[27])</f>
        <v>6</v>
      </c>
      <c r="AD21" s="4">
        <f>SUBTOTAL(103,June[28])</f>
        <v>0</v>
      </c>
      <c r="AE21" s="61">
        <f>SUBTOTAL(103,June[29])</f>
        <v>0</v>
      </c>
      <c r="AF21" s="4">
        <f>SUBTOTAL(109,June[30])</f>
        <v>0</v>
      </c>
      <c r="AG21" s="4">
        <f>SUBTOTAL(109,June[[ ]])</f>
        <v>0</v>
      </c>
      <c r="AH21" s="4"/>
      <c r="AI21" s="4">
        <f>SUBTOTAL(109,June[Working Day])</f>
        <v>130</v>
      </c>
      <c r="AK21" s="79">
        <f>SUM(AK9:AK20)</f>
        <v>32976695</v>
      </c>
      <c r="AL21" s="74"/>
      <c r="AM21" s="74"/>
      <c r="AN21" s="74"/>
      <c r="AO21" s="74"/>
      <c r="AP21" s="74"/>
      <c r="AQ21" s="87"/>
    </row>
    <row r="22" spans="2:43" ht="30" customHeight="1">
      <c r="AK22" s="57"/>
    </row>
    <row r="23" spans="2:43" ht="30" customHeight="1">
      <c r="AK23" s="57"/>
    </row>
    <row r="24" spans="2:43" ht="30" customHeight="1">
      <c r="AK24" s="57"/>
    </row>
    <row r="25" spans="2:43" ht="30" customHeight="1">
      <c r="AK25" s="57"/>
    </row>
    <row r="26" spans="2:43" ht="30" customHeight="1">
      <c r="AK26" s="57"/>
    </row>
    <row r="27" spans="2:43" ht="30" customHeight="1">
      <c r="AK27" s="57">
        <v>700644549.15873015</v>
      </c>
    </row>
  </sheetData>
  <mergeCells count="13">
    <mergeCell ref="W5:AB5"/>
    <mergeCell ref="AP6:AQ7"/>
    <mergeCell ref="AC5:AH5"/>
    <mergeCell ref="B2:H2"/>
    <mergeCell ref="C6:AG6"/>
    <mergeCell ref="D4:F4"/>
    <mergeCell ref="H5:J5"/>
    <mergeCell ref="L4:N4"/>
    <mergeCell ref="L5:N5"/>
    <mergeCell ref="P4:R4"/>
    <mergeCell ref="P5:R5"/>
    <mergeCell ref="T4:V4"/>
    <mergeCell ref="T5:V5"/>
  </mergeCells>
  <conditionalFormatting sqref="C9:AH20">
    <cfRule type="expression" priority="1" stopIfTrue="1">
      <formula>C9=""</formula>
    </cfRule>
    <cfRule type="expression" dxfId="929" priority="2" stopIfTrue="1">
      <formula>C9=KeyCustom2</formula>
    </cfRule>
    <cfRule type="expression" dxfId="928" priority="3" stopIfTrue="1">
      <formula>C9=KeyCustom1</formula>
    </cfRule>
    <cfRule type="expression" dxfId="927" priority="4" stopIfTrue="1">
      <formula>C9=KeySick</formula>
    </cfRule>
    <cfRule type="expression" dxfId="926" priority="5" stopIfTrue="1">
      <formula>C9=KeyPersonal</formula>
    </cfRule>
    <cfRule type="expression" dxfId="925" priority="6" stopIfTrue="1">
      <formula>C9=KeyVacation</formula>
    </cfRule>
  </conditionalFormatting>
  <conditionalFormatting sqref="AI9:AI20">
    <cfRule type="dataBar" priority="7">
      <dataBar>
        <cfvo type="min"/>
        <cfvo type="formula" val="DATEDIF(DATE(CalendarYear,2,1),DATE(CalendarYear,3,1),&quot;d&quot;)"/>
        <color theme="2" tint="-0.249977111117893"/>
      </dataBar>
      <extLst>
        <ext xmlns:x14="http://schemas.microsoft.com/office/spreadsheetml/2009/9/main" uri="{B025F937-C7B1-47D3-B67F-A62EFF666E3E}">
          <x14:id>{5E94D469-7B22-408B-924D-8DC8A136AD3B}</x14:id>
        </ext>
      </extLst>
    </cfRule>
  </conditionalFormatting>
  <dataValidations xWindow="1210" yWindow="506" count="13">
    <dataValidation allowBlank="1" showInputMessage="1" showErrorMessage="1" prompt="Weekdays in this row are automatically updated for the month according to the year in AH4. Each day of the month is a column to note an employee's absence and absence type" sqref="C7"/>
    <dataValidation allowBlank="1" showInputMessage="1" showErrorMessage="1" prompt="Automatically updated year based on year entered in January worksheet" sqref="AI6"/>
    <dataValidation allowBlank="1" showInputMessage="1" showErrorMessage="1" prompt="Track June absence in this worksheet" sqref="A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dataValidation allowBlank="1" showInputMessage="1" showErrorMessage="1" prompt="Automatically updated title is in this cell. To modify the title, update B1 on January worksheet" sqref="B2"/>
    <dataValidation allowBlank="1" showInputMessage="1" showErrorMessage="1" prompt="The letter &quot;V&quot; indicates absence due to vacation" sqref="C4"/>
    <dataValidation allowBlank="1" showInputMessage="1" showErrorMessage="1" prompt="The letter &quot;P&quot; indicates absence due to personal reasons" sqref="G4"/>
    <dataValidation allowBlank="1" showInputMessage="1" showErrorMessage="1" prompt="The letter &quot;S&quot; indicates absence due to illness" sqref="K4 O4 S4"/>
    <dataValidation allowBlank="1" showInputMessage="1" showErrorMessage="1" prompt="Enter a label to describe the custom key at left" sqref="H4:J4"/>
    <dataValidation allowBlank="1" showInputMessage="1" showErrorMessage="1" prompt="Month name for this absence schedule is in this cell. Absence totals for this month are in last cell of the table. Select employee names in table column B" sqref="B2"/>
    <dataValidation allowBlank="1" showInputMessage="1" showErrorMessage="1" prompt="Days of the month in this row are automatically generated. Enter an employee's absence and absence type in each column for each day of the month. Blank means no absence" sqref="C8"/>
    <dataValidation allowBlank="1" showInputMessage="1" showErrorMessage="1" prompt="This row defines the keys used in the table: cell C4 is Vacation, G4 is Personal, &amp; K4 is Sick leave. Cells N4 &amp; R4 are customizable " sqref="B4"/>
    <dataValidation allowBlank="1" showInputMessage="1" showErrorMessage="1" prompt="Title of the worksheet is in this cell. " sqref="B1"/>
  </dataValidations>
  <printOptions horizontalCentered="1"/>
  <pageMargins left="0.25" right="0.25" top="0.75" bottom="0.75" header="0.3" footer="0.3"/>
  <pageSetup scale="46"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E94D469-7B22-408B-924D-8DC8A136AD3B}">
            <x14:dataBar minLength="0" maxLength="100">
              <x14:cfvo type="autoMin"/>
              <x14:cfvo type="formula">
                <xm:f>DATEDIF(DATE(CalendarYear,2,1),DATE(CalendarYear,3,1),"d")</xm:f>
              </x14:cfvo>
              <x14:negativeFillColor rgb="FFFF0000"/>
              <x14:axisColor rgb="FF000000"/>
            </x14:dataBar>
          </x14:cfRule>
          <xm:sqref>AI9:AI20</xm:sqref>
        </x14:conditionalFormatting>
      </x14:conditionalFormattings>
    </ext>
    <ext xmlns:x14="http://schemas.microsoft.com/office/spreadsheetml/2009/9/main" uri="{CCE6A557-97BC-4b89-ADB6-D9C93CAAB3DF}">
      <x14:dataValidations xmlns:xm="http://schemas.microsoft.com/office/excel/2006/main" xWindow="1210" yWindow="506" count="1">
        <x14:dataValidation type="list" allowBlank="1" showInputMessage="1" showErrorMessage="1">
          <x14:formula1>
            <xm:f>'Employee names'!$C$5:$C$23</xm:f>
          </x14:formula1>
          <xm:sqref>B9:B20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B1:AR19"/>
  <sheetViews>
    <sheetView showGridLines="0" zoomScale="70" zoomScaleNormal="70" workbookViewId="0">
      <selection activeCell="AP11" sqref="AP11"/>
    </sheetView>
  </sheetViews>
  <sheetFormatPr defaultColWidth="8.77734375" defaultRowHeight="30" customHeight="1"/>
  <cols>
    <col min="1" max="1" width="2.6640625" customWidth="1"/>
    <col min="2" max="2" width="14.33203125" customWidth="1"/>
    <col min="3" max="33" width="4.6640625" customWidth="1"/>
    <col min="34" max="34" width="9.33203125" customWidth="1"/>
    <col min="35" max="35" width="10.5546875" customWidth="1"/>
    <col min="36" max="36" width="1.5546875" customWidth="1"/>
    <col min="37" max="37" width="17.21875" customWidth="1"/>
    <col min="38" max="38" width="14.88671875" customWidth="1"/>
    <col min="39" max="39" width="14.21875" customWidth="1"/>
    <col min="40" max="40" width="11.21875" customWidth="1"/>
    <col min="41" max="41" width="12.109375" customWidth="1"/>
    <col min="42" max="42" width="13.109375" customWidth="1"/>
    <col min="43" max="43" width="12.88671875" style="120" bestFit="1" customWidth="1"/>
    <col min="44" max="44" width="11" style="120" customWidth="1"/>
  </cols>
  <sheetData>
    <row r="1" spans="2:44" ht="49.95" customHeight="1">
      <c r="B1" s="24" t="s">
        <v>53</v>
      </c>
    </row>
    <row r="2" spans="2:44" ht="36.6" customHeight="1">
      <c r="B2" s="125" t="s">
        <v>46</v>
      </c>
    </row>
    <row r="3" spans="2:44" ht="15" customHeight="1" thickBot="1">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row>
    <row r="4" spans="2:44" ht="14.4" customHeight="1">
      <c r="B4" s="7" t="s">
        <v>54</v>
      </c>
      <c r="C4" s="39" t="s">
        <v>32</v>
      </c>
      <c r="D4" s="293" t="s">
        <v>37</v>
      </c>
      <c r="E4" s="293"/>
      <c r="F4" s="294"/>
      <c r="G4" s="34" t="s">
        <v>74</v>
      </c>
      <c r="H4" s="40" t="s">
        <v>73</v>
      </c>
      <c r="I4" s="41"/>
      <c r="J4" s="42"/>
      <c r="K4" s="38" t="s">
        <v>31</v>
      </c>
      <c r="L4" s="297" t="s">
        <v>75</v>
      </c>
      <c r="M4" s="297"/>
      <c r="N4" s="298"/>
      <c r="O4" s="38"/>
      <c r="P4" s="297"/>
      <c r="Q4" s="297"/>
      <c r="R4" s="298"/>
      <c r="S4" s="38"/>
      <c r="T4" s="297"/>
      <c r="U4" s="297"/>
      <c r="V4" s="297"/>
      <c r="W4" s="72" t="s">
        <v>86</v>
      </c>
      <c r="X4" s="70"/>
      <c r="Y4" s="70"/>
      <c r="Z4" s="70"/>
      <c r="AA4" s="70"/>
      <c r="AB4" s="71"/>
      <c r="AC4" s="72" t="s">
        <v>88</v>
      </c>
      <c r="AD4" s="70"/>
      <c r="AE4" s="70"/>
      <c r="AF4" s="70"/>
      <c r="AG4" s="70"/>
      <c r="AH4" s="70"/>
      <c r="AI4" s="77" t="s">
        <v>89</v>
      </c>
    </row>
    <row r="5" spans="2:44" ht="15" customHeight="1" thickBot="1">
      <c r="B5" s="8"/>
      <c r="C5" s="35"/>
      <c r="D5" s="36"/>
      <c r="E5" s="36"/>
      <c r="F5" s="37"/>
      <c r="G5" s="35"/>
      <c r="H5" s="295"/>
      <c r="I5" s="295"/>
      <c r="J5" s="296"/>
      <c r="K5" s="35"/>
      <c r="L5" s="295"/>
      <c r="M5" s="295"/>
      <c r="N5" s="296"/>
      <c r="O5" s="35"/>
      <c r="P5" s="295"/>
      <c r="Q5" s="295"/>
      <c r="R5" s="296"/>
      <c r="S5" s="35"/>
      <c r="T5" s="295"/>
      <c r="U5" s="295"/>
      <c r="V5" s="295"/>
      <c r="W5" s="286">
        <f>1859165+2780745</f>
        <v>4639910</v>
      </c>
      <c r="X5" s="287"/>
      <c r="Y5" s="287"/>
      <c r="Z5" s="287"/>
      <c r="AA5" s="287"/>
      <c r="AB5" s="288"/>
      <c r="AC5" s="290">
        <f>W5/July[[#Totals],[Total days]]</f>
        <v>43772.735849056604</v>
      </c>
      <c r="AD5" s="291"/>
      <c r="AE5" s="291"/>
      <c r="AF5" s="291"/>
      <c r="AG5" s="291"/>
      <c r="AH5" s="291"/>
      <c r="AI5" s="78">
        <v>20000</v>
      </c>
    </row>
    <row r="6" spans="2:44" ht="29.4" customHeight="1">
      <c r="B6" s="6"/>
      <c r="C6" s="283" t="s">
        <v>55</v>
      </c>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6">
        <f ca="1">CalendarYear</f>
        <v>2026</v>
      </c>
      <c r="AP6" s="289"/>
      <c r="AQ6" s="289"/>
    </row>
    <row r="7" spans="2:44" ht="22.2" customHeight="1">
      <c r="B7" s="6"/>
      <c r="C7" s="21" t="str">
        <f ca="1">TEXT(WEEKDAY(DATE(CalendarYear,7,1),1),"aaa")</f>
        <v>Wed</v>
      </c>
      <c r="D7" s="21" t="str">
        <f ca="1">TEXT(WEEKDAY(DATE(CalendarYear,7,2),1),"aaa")</f>
        <v>Thu</v>
      </c>
      <c r="E7" s="21" t="str">
        <f ca="1">TEXT(WEEKDAY(DATE(CalendarYear,7,3),1),"aaa")</f>
        <v>Fri</v>
      </c>
      <c r="F7" s="21" t="str">
        <f ca="1">TEXT(WEEKDAY(DATE(CalendarYear,7,4),1),"aaa")</f>
        <v>Sat</v>
      </c>
      <c r="G7" s="21" t="str">
        <f ca="1">TEXT(WEEKDAY(DATE(CalendarYear,7,5),1),"aaa")</f>
        <v>Sun</v>
      </c>
      <c r="H7" s="110" t="str">
        <f ca="1">TEXT(WEEKDAY(DATE(CalendarYear,7,6),1),"aaa")</f>
        <v>Mon</v>
      </c>
      <c r="I7" s="21" t="str">
        <f ca="1">TEXT(WEEKDAY(DATE(CalendarYear,7,7),1),"aaa")</f>
        <v>Tue</v>
      </c>
      <c r="J7" s="21" t="str">
        <f ca="1">TEXT(WEEKDAY(DATE(CalendarYear,7,8),1),"aaa")</f>
        <v>Wed</v>
      </c>
      <c r="K7" s="21" t="str">
        <f ca="1">TEXT(WEEKDAY(DATE(CalendarYear,7,9),1),"aaa")</f>
        <v>Thu</v>
      </c>
      <c r="L7" s="21" t="str">
        <f ca="1">TEXT(WEEKDAY(DATE(CalendarYear,7,10),1),"aaa")</f>
        <v>Fri</v>
      </c>
      <c r="M7" s="21" t="str">
        <f ca="1">TEXT(WEEKDAY(DATE(CalendarYear,7,11),1),"aaa")</f>
        <v>Sat</v>
      </c>
      <c r="N7" s="21" t="str">
        <f ca="1">TEXT(WEEKDAY(DATE(CalendarYear,7,12),1),"aaa")</f>
        <v>Sun</v>
      </c>
      <c r="O7" s="110" t="str">
        <f ca="1">TEXT(WEEKDAY(DATE(CalendarYear,7,13),1),"aaa")</f>
        <v>Mon</v>
      </c>
      <c r="P7" s="21" t="str">
        <f ca="1">TEXT(WEEKDAY(DATE(CalendarYear,7,14),1),"aaa")</f>
        <v>Tue</v>
      </c>
      <c r="Q7" s="21" t="str">
        <f ca="1">TEXT(WEEKDAY(DATE(CalendarYear,7,15),1),"aaa")</f>
        <v>Wed</v>
      </c>
      <c r="R7" s="21" t="str">
        <f ca="1">TEXT(WEEKDAY(DATE(CalendarYear,7,16),1),"aaa")</f>
        <v>Thu</v>
      </c>
      <c r="S7" s="21" t="str">
        <f ca="1">TEXT(WEEKDAY(DATE(CalendarYear,7,17),1),"aaa")</f>
        <v>Fri</v>
      </c>
      <c r="T7" s="21" t="str">
        <f ca="1">TEXT(WEEKDAY(DATE(CalendarYear,7,18),1),"aaa")</f>
        <v>Sat</v>
      </c>
      <c r="U7" s="21" t="str">
        <f ca="1">TEXT(WEEKDAY(DATE(CalendarYear,7,19),1),"aaa")</f>
        <v>Sun</v>
      </c>
      <c r="V7" s="110" t="str">
        <f ca="1">TEXT(WEEKDAY(DATE(CalendarYear,7,20),1),"aaa")</f>
        <v>Mon</v>
      </c>
      <c r="W7" s="21" t="str">
        <f ca="1">TEXT(WEEKDAY(DATE(CalendarYear,7,21),1),"aaa")</f>
        <v>Tue</v>
      </c>
      <c r="X7" s="21" t="str">
        <f ca="1">TEXT(WEEKDAY(DATE(CalendarYear,7,22),1),"aaa")</f>
        <v>Wed</v>
      </c>
      <c r="Y7" s="21" t="str">
        <f ca="1">TEXT(WEEKDAY(DATE(CalendarYear,7,23),1),"aaa")</f>
        <v>Thu</v>
      </c>
      <c r="Z7" s="21" t="str">
        <f ca="1">TEXT(WEEKDAY(DATE(CalendarYear,7,24),1),"aaa")</f>
        <v>Fri</v>
      </c>
      <c r="AA7" s="21" t="str">
        <f ca="1">TEXT(WEEKDAY(DATE(CalendarYear,7,25),1),"aaa")</f>
        <v>Sat</v>
      </c>
      <c r="AB7" s="21" t="str">
        <f ca="1">TEXT(WEEKDAY(DATE(CalendarYear,7,26),1),"aaa")</f>
        <v>Sun</v>
      </c>
      <c r="AC7" s="110" t="str">
        <f ca="1">TEXT(WEEKDAY(DATE(CalendarYear,7,27),1),"aaa")</f>
        <v>Mon</v>
      </c>
      <c r="AD7" s="21" t="str">
        <f ca="1">TEXT(WEEKDAY(DATE(CalendarYear,7,28),1),"aaa")</f>
        <v>Tue</v>
      </c>
      <c r="AE7" s="21" t="str">
        <f ca="1">TEXT(WEEKDAY(DATE(CalendarYear,7,29),1),"aaa")</f>
        <v>Wed</v>
      </c>
      <c r="AF7" s="21" t="str">
        <f ca="1">TEXT(WEEKDAY(DATE(CalendarYear,7,30),1),"aaa")</f>
        <v>Thu</v>
      </c>
      <c r="AG7" s="21" t="str">
        <f ca="1">TEXT(WEEKDAY(DATE(CalendarYear,7,31),1),"aaa")</f>
        <v>Fri</v>
      </c>
      <c r="AH7" s="6"/>
      <c r="AP7" s="289"/>
      <c r="AQ7" s="289"/>
    </row>
    <row r="8" spans="2:44" ht="22.2" customHeight="1">
      <c r="B8" s="106" t="s">
        <v>61</v>
      </c>
      <c r="C8" s="1" t="s">
        <v>0</v>
      </c>
      <c r="D8" s="1" t="s">
        <v>1</v>
      </c>
      <c r="E8" s="1" t="s">
        <v>2</v>
      </c>
      <c r="F8" s="1" t="s">
        <v>3</v>
      </c>
      <c r="G8" s="1" t="s">
        <v>4</v>
      </c>
      <c r="H8" s="86" t="s">
        <v>5</v>
      </c>
      <c r="I8" s="1" t="s">
        <v>6</v>
      </c>
      <c r="J8" s="1" t="s">
        <v>7</v>
      </c>
      <c r="K8" s="1" t="s">
        <v>8</v>
      </c>
      <c r="L8" s="1" t="s">
        <v>9</v>
      </c>
      <c r="M8" s="1" t="s">
        <v>10</v>
      </c>
      <c r="N8" s="1" t="s">
        <v>11</v>
      </c>
      <c r="O8" s="86" t="s">
        <v>12</v>
      </c>
      <c r="P8" s="1" t="s">
        <v>13</v>
      </c>
      <c r="Q8" s="1" t="s">
        <v>14</v>
      </c>
      <c r="R8" s="1" t="s">
        <v>15</v>
      </c>
      <c r="S8" s="1" t="s">
        <v>16</v>
      </c>
      <c r="T8" s="1" t="s">
        <v>17</v>
      </c>
      <c r="U8" s="1" t="s">
        <v>18</v>
      </c>
      <c r="V8" s="86" t="s">
        <v>19</v>
      </c>
      <c r="W8" s="1" t="s">
        <v>20</v>
      </c>
      <c r="X8" s="1" t="s">
        <v>21</v>
      </c>
      <c r="Y8" s="1" t="s">
        <v>22</v>
      </c>
      <c r="Z8" s="124" t="s">
        <v>23</v>
      </c>
      <c r="AA8" s="1" t="s">
        <v>24</v>
      </c>
      <c r="AB8" s="1" t="s">
        <v>25</v>
      </c>
      <c r="AC8" s="86" t="s">
        <v>26</v>
      </c>
      <c r="AD8" s="1" t="s">
        <v>27</v>
      </c>
      <c r="AE8" s="1" t="s">
        <v>28</v>
      </c>
      <c r="AF8" s="1" t="s">
        <v>29</v>
      </c>
      <c r="AG8" s="1" t="s">
        <v>30</v>
      </c>
      <c r="AH8" s="22" t="s">
        <v>62</v>
      </c>
      <c r="AK8" s="75" t="s">
        <v>87</v>
      </c>
      <c r="AL8" s="53" t="s">
        <v>76</v>
      </c>
      <c r="AM8" s="54" t="s">
        <v>77</v>
      </c>
      <c r="AN8" s="54" t="s">
        <v>78</v>
      </c>
      <c r="AO8" s="117" t="s">
        <v>99</v>
      </c>
      <c r="AP8" s="73" t="s">
        <v>85</v>
      </c>
      <c r="AQ8" s="121" t="s">
        <v>100</v>
      </c>
      <c r="AR8" s="121" t="s">
        <v>101</v>
      </c>
    </row>
    <row r="9" spans="2:44" ht="22.2" customHeight="1">
      <c r="B9" s="99" t="s">
        <v>71</v>
      </c>
      <c r="C9" s="1" t="s">
        <v>72</v>
      </c>
      <c r="D9" s="1" t="s">
        <v>72</v>
      </c>
      <c r="E9" s="1" t="s">
        <v>72</v>
      </c>
      <c r="F9" s="1" t="s">
        <v>72</v>
      </c>
      <c r="G9" s="1" t="s">
        <v>72</v>
      </c>
      <c r="H9" s="86"/>
      <c r="I9" s="1" t="s">
        <v>72</v>
      </c>
      <c r="J9" s="1" t="s">
        <v>72</v>
      </c>
      <c r="K9" s="1" t="s">
        <v>72</v>
      </c>
      <c r="L9" s="112"/>
      <c r="M9" s="1" t="s">
        <v>72</v>
      </c>
      <c r="N9" s="1" t="s">
        <v>72</v>
      </c>
      <c r="O9" s="86"/>
      <c r="P9" s="1" t="s">
        <v>72</v>
      </c>
      <c r="Q9" s="1" t="s">
        <v>72</v>
      </c>
      <c r="R9" s="1" t="s">
        <v>72</v>
      </c>
      <c r="S9" s="1" t="s">
        <v>72</v>
      </c>
      <c r="T9" s="1" t="s">
        <v>72</v>
      </c>
      <c r="U9" s="1" t="s">
        <v>72</v>
      </c>
      <c r="V9" s="86"/>
      <c r="W9" s="1" t="s">
        <v>72</v>
      </c>
      <c r="X9" s="1" t="s">
        <v>72</v>
      </c>
      <c r="Y9" s="1" t="s">
        <v>72</v>
      </c>
      <c r="Z9" s="124"/>
      <c r="AA9" s="1" t="s">
        <v>72</v>
      </c>
      <c r="AB9" s="1" t="s">
        <v>72</v>
      </c>
      <c r="AC9" s="86"/>
      <c r="AD9" s="1" t="s">
        <v>72</v>
      </c>
      <c r="AE9" s="1" t="s">
        <v>72</v>
      </c>
      <c r="AF9" s="1" t="s">
        <v>72</v>
      </c>
      <c r="AG9" s="1" t="s">
        <v>72</v>
      </c>
      <c r="AH9" s="82"/>
      <c r="AK9" s="76"/>
      <c r="AL9" s="76"/>
      <c r="AM9" s="76"/>
      <c r="AN9" s="76"/>
      <c r="AO9" s="76"/>
      <c r="AP9" s="76">
        <f>$AC$5*June[[#This Row],[Working Day]]</f>
        <v>0</v>
      </c>
      <c r="AQ9" s="121"/>
      <c r="AR9" s="121"/>
    </row>
    <row r="10" spans="2:44" ht="22.2" customHeight="1">
      <c r="B10" s="99" t="s">
        <v>69</v>
      </c>
      <c r="C10" s="1" t="s">
        <v>72</v>
      </c>
      <c r="D10" s="1" t="s">
        <v>72</v>
      </c>
      <c r="E10" s="1" t="s">
        <v>72</v>
      </c>
      <c r="F10" s="1" t="s">
        <v>72</v>
      </c>
      <c r="G10" s="1" t="s">
        <v>72</v>
      </c>
      <c r="H10" s="86" t="s">
        <v>72</v>
      </c>
      <c r="I10" s="112"/>
      <c r="J10" s="1" t="s">
        <v>72</v>
      </c>
      <c r="K10" s="1" t="s">
        <v>72</v>
      </c>
      <c r="L10" s="112"/>
      <c r="M10" s="1" t="s">
        <v>72</v>
      </c>
      <c r="N10" s="1" t="s">
        <v>72</v>
      </c>
      <c r="O10" s="86"/>
      <c r="P10" s="1"/>
      <c r="Q10" s="1" t="s">
        <v>72</v>
      </c>
      <c r="R10" s="1" t="s">
        <v>72</v>
      </c>
      <c r="S10" s="1" t="s">
        <v>72</v>
      </c>
      <c r="T10" s="1" t="s">
        <v>72</v>
      </c>
      <c r="U10" s="1" t="s">
        <v>72</v>
      </c>
      <c r="V10" s="86"/>
      <c r="W10" s="1" t="s">
        <v>72</v>
      </c>
      <c r="X10" s="1" t="s">
        <v>72</v>
      </c>
      <c r="Y10" s="1" t="s">
        <v>72</v>
      </c>
      <c r="Z10" s="124"/>
      <c r="AA10" s="1" t="s">
        <v>72</v>
      </c>
      <c r="AB10" s="1" t="s">
        <v>72</v>
      </c>
      <c r="AC10" s="86"/>
      <c r="AD10" s="1" t="s">
        <v>72</v>
      </c>
      <c r="AE10" s="1" t="s">
        <v>72</v>
      </c>
      <c r="AF10" s="1" t="s">
        <v>72</v>
      </c>
      <c r="AG10" s="1" t="s">
        <v>72</v>
      </c>
      <c r="AH10" s="82">
        <f>COUNTA(July[[#This Row],[1]:[31]])</f>
        <v>24</v>
      </c>
      <c r="AK10" s="76">
        <f>SUM(AL10:AP10)</f>
        <v>6080545.660377359</v>
      </c>
      <c r="AL10" s="76">
        <v>4500000</v>
      </c>
      <c r="AM10" s="76">
        <f>$AI$5*July[[#This Row],[Total days]]</f>
        <v>480000</v>
      </c>
      <c r="AN10" s="76">
        <v>50000</v>
      </c>
      <c r="AO10" s="76"/>
      <c r="AP10" s="76">
        <f>AC5*July[[#This Row],[Total days]]</f>
        <v>1050545.6603773586</v>
      </c>
      <c r="AQ10" s="121"/>
      <c r="AR10" s="121"/>
    </row>
    <row r="11" spans="2:44" ht="22.2" customHeight="1">
      <c r="B11" s="99" t="s">
        <v>65</v>
      </c>
      <c r="C11" s="1" t="s">
        <v>72</v>
      </c>
      <c r="D11" s="1" t="s">
        <v>72</v>
      </c>
      <c r="E11" s="1" t="s">
        <v>72</v>
      </c>
      <c r="F11" s="1" t="s">
        <v>72</v>
      </c>
      <c r="G11" s="1" t="s">
        <v>72</v>
      </c>
      <c r="H11" s="86" t="s">
        <v>72</v>
      </c>
      <c r="I11" s="1" t="s">
        <v>72</v>
      </c>
      <c r="J11" s="1" t="s">
        <v>72</v>
      </c>
      <c r="K11" s="1" t="s">
        <v>72</v>
      </c>
      <c r="L11" s="112"/>
      <c r="M11" s="1" t="s">
        <v>72</v>
      </c>
      <c r="N11" s="1" t="s">
        <v>72</v>
      </c>
      <c r="O11" s="86"/>
      <c r="P11" s="1" t="s">
        <v>72</v>
      </c>
      <c r="Q11" s="1" t="s">
        <v>72</v>
      </c>
      <c r="R11" s="1" t="s">
        <v>72</v>
      </c>
      <c r="S11" s="1" t="s">
        <v>72</v>
      </c>
      <c r="T11" s="86"/>
      <c r="U11" s="1" t="s">
        <v>72</v>
      </c>
      <c r="V11" s="86"/>
      <c r="W11" s="1" t="s">
        <v>72</v>
      </c>
      <c r="X11" s="1" t="s">
        <v>72</v>
      </c>
      <c r="Y11" s="1" t="s">
        <v>72</v>
      </c>
      <c r="Z11" s="124"/>
      <c r="AA11" s="1" t="s">
        <v>72</v>
      </c>
      <c r="AB11" s="1" t="s">
        <v>72</v>
      </c>
      <c r="AC11" s="86"/>
      <c r="AD11" s="1" t="s">
        <v>72</v>
      </c>
      <c r="AE11" s="1" t="s">
        <v>72</v>
      </c>
      <c r="AF11" s="1" t="s">
        <v>72</v>
      </c>
      <c r="AG11" s="1" t="s">
        <v>72</v>
      </c>
      <c r="AH11" s="82">
        <f>COUNTA(July[[#This Row],[1]:[31]])</f>
        <v>25</v>
      </c>
      <c r="AI11">
        <v>7</v>
      </c>
      <c r="AK11" s="76">
        <f t="shared" ref="AK11:AK17" si="0">SUM(AL11:AP11)</f>
        <v>7144318.3962264154</v>
      </c>
      <c r="AL11" s="76">
        <v>5500000</v>
      </c>
      <c r="AM11" s="76">
        <f>$AI$5*July[[#This Row],[Total days]]</f>
        <v>500000</v>
      </c>
      <c r="AN11" s="76">
        <v>50000</v>
      </c>
      <c r="AO11" s="76"/>
      <c r="AP11" s="76">
        <f>AC5*July[[#This Row],[Total days]]</f>
        <v>1094318.3962264152</v>
      </c>
      <c r="AQ11" s="121"/>
      <c r="AR11" s="121"/>
    </row>
    <row r="12" spans="2:44" ht="22.2" customHeight="1">
      <c r="B12" s="99" t="s">
        <v>66</v>
      </c>
      <c r="C12" s="1" t="s">
        <v>72</v>
      </c>
      <c r="D12" s="1" t="s">
        <v>72</v>
      </c>
      <c r="E12" s="1" t="s">
        <v>72</v>
      </c>
      <c r="F12" s="1" t="s">
        <v>72</v>
      </c>
      <c r="G12" s="1" t="s">
        <v>72</v>
      </c>
      <c r="H12" s="86"/>
      <c r="I12" s="112"/>
      <c r="J12" s="1" t="s">
        <v>72</v>
      </c>
      <c r="K12" s="1" t="s">
        <v>72</v>
      </c>
      <c r="L12" s="112"/>
      <c r="M12" s="112"/>
      <c r="N12" s="112"/>
      <c r="O12" s="86"/>
      <c r="P12" s="86"/>
      <c r="Q12" s="1" t="s">
        <v>72</v>
      </c>
      <c r="R12" s="1" t="s">
        <v>72</v>
      </c>
      <c r="S12" s="1" t="s">
        <v>72</v>
      </c>
      <c r="T12" s="86"/>
      <c r="U12" s="1" t="s">
        <v>72</v>
      </c>
      <c r="V12" s="86"/>
      <c r="W12" s="1" t="s">
        <v>72</v>
      </c>
      <c r="X12" s="1" t="s">
        <v>72</v>
      </c>
      <c r="Y12" s="1" t="s">
        <v>72</v>
      </c>
      <c r="Z12" s="124"/>
      <c r="AA12" s="1" t="s">
        <v>72</v>
      </c>
      <c r="AB12" s="1" t="s">
        <v>72</v>
      </c>
      <c r="AC12" s="86"/>
      <c r="AD12" s="1" t="s">
        <v>72</v>
      </c>
      <c r="AE12" s="1" t="s">
        <v>72</v>
      </c>
      <c r="AF12" s="1" t="s">
        <v>72</v>
      </c>
      <c r="AG12" s="1" t="s">
        <v>72</v>
      </c>
      <c r="AH12" s="82">
        <f>COUNTA(July[[#This Row],[1]:[31]])</f>
        <v>20</v>
      </c>
      <c r="AK12" s="76">
        <f t="shared" si="0"/>
        <v>5325454.7169811316</v>
      </c>
      <c r="AL12" s="76">
        <v>4000000</v>
      </c>
      <c r="AM12" s="76">
        <f>$AI$5*July[[#This Row],[Total days]]</f>
        <v>400000</v>
      </c>
      <c r="AN12" s="76">
        <v>50000</v>
      </c>
      <c r="AO12" s="76"/>
      <c r="AP12" s="76">
        <f>AC5*July[[#This Row],[Total days]]</f>
        <v>875454.71698113205</v>
      </c>
      <c r="AQ12" s="122">
        <v>1000000</v>
      </c>
      <c r="AR12" s="123">
        <v>45859</v>
      </c>
    </row>
    <row r="13" spans="2:44" ht="22.2" customHeight="1">
      <c r="B13" s="99" t="s">
        <v>68</v>
      </c>
      <c r="C13" s="1" t="s">
        <v>72</v>
      </c>
      <c r="D13" s="1" t="s">
        <v>72</v>
      </c>
      <c r="E13" s="1" t="s">
        <v>72</v>
      </c>
      <c r="F13" s="1" t="s">
        <v>72</v>
      </c>
      <c r="G13" s="1" t="s">
        <v>72</v>
      </c>
      <c r="H13" s="86" t="s">
        <v>72</v>
      </c>
      <c r="I13" s="1" t="s">
        <v>72</v>
      </c>
      <c r="J13" s="1" t="s">
        <v>72</v>
      </c>
      <c r="K13" s="1" t="s">
        <v>72</v>
      </c>
      <c r="L13" s="112"/>
      <c r="M13" s="112"/>
      <c r="N13" s="1" t="s">
        <v>72</v>
      </c>
      <c r="O13" s="86"/>
      <c r="P13" s="1"/>
      <c r="Q13" s="1" t="s">
        <v>72</v>
      </c>
      <c r="R13" s="1" t="s">
        <v>72</v>
      </c>
      <c r="S13" s="1" t="s">
        <v>72</v>
      </c>
      <c r="T13" s="1" t="s">
        <v>72</v>
      </c>
      <c r="U13" s="1" t="s">
        <v>72</v>
      </c>
      <c r="V13" s="86"/>
      <c r="W13" s="1" t="s">
        <v>72</v>
      </c>
      <c r="X13" s="1" t="s">
        <v>72</v>
      </c>
      <c r="Y13" s="1" t="s">
        <v>72</v>
      </c>
      <c r="Z13" s="124"/>
      <c r="AA13" s="1" t="s">
        <v>72</v>
      </c>
      <c r="AB13" s="1" t="s">
        <v>72</v>
      </c>
      <c r="AC13" s="86"/>
      <c r="AD13" s="1" t="s">
        <v>72</v>
      </c>
      <c r="AE13" s="1" t="s">
        <v>72</v>
      </c>
      <c r="AF13" s="1" t="s">
        <v>72</v>
      </c>
      <c r="AG13" s="1" t="s">
        <v>72</v>
      </c>
      <c r="AH13" s="3">
        <f>COUNTA(July[[#This Row],[1]:[31]])</f>
        <v>24</v>
      </c>
      <c r="AK13" s="76">
        <f t="shared" si="0"/>
        <v>6730545.660377359</v>
      </c>
      <c r="AL13" s="76">
        <v>5150000</v>
      </c>
      <c r="AM13" s="76">
        <f>$AI$5*July[[#This Row],[Total days]]</f>
        <v>480000</v>
      </c>
      <c r="AN13" s="76">
        <v>50000</v>
      </c>
      <c r="AO13" s="76"/>
      <c r="AP13" s="76">
        <f>AC5*July[[#This Row],[Total days]]</f>
        <v>1050545.6603773586</v>
      </c>
      <c r="AQ13" s="121"/>
      <c r="AR13" s="121"/>
    </row>
    <row r="14" spans="2:44" ht="22.2" customHeight="1">
      <c r="B14" s="116" t="s">
        <v>94</v>
      </c>
      <c r="C14" s="1"/>
      <c r="D14" s="1"/>
      <c r="E14" s="1"/>
      <c r="F14" s="1"/>
      <c r="G14" s="1"/>
      <c r="H14" s="86"/>
      <c r="I14" s="1"/>
      <c r="J14" s="1"/>
      <c r="K14" s="1"/>
      <c r="L14" s="1"/>
      <c r="M14" s="1"/>
      <c r="N14" s="1"/>
      <c r="O14" s="86"/>
      <c r="P14" s="1"/>
      <c r="Q14" s="1" t="s">
        <v>72</v>
      </c>
      <c r="R14" s="1" t="s">
        <v>72</v>
      </c>
      <c r="S14" s="1" t="s">
        <v>72</v>
      </c>
      <c r="T14" s="86"/>
      <c r="U14" s="1" t="s">
        <v>72</v>
      </c>
      <c r="V14" s="86"/>
      <c r="W14" s="1" t="s">
        <v>72</v>
      </c>
      <c r="X14" s="1" t="s">
        <v>72</v>
      </c>
      <c r="Y14" s="1" t="s">
        <v>72</v>
      </c>
      <c r="Z14" s="124"/>
      <c r="AA14" s="1" t="s">
        <v>72</v>
      </c>
      <c r="AB14" s="1" t="s">
        <v>72</v>
      </c>
      <c r="AC14" s="86"/>
      <c r="AD14" s="1" t="s">
        <v>72</v>
      </c>
      <c r="AE14" s="1" t="s">
        <v>72</v>
      </c>
      <c r="AF14" s="1" t="s">
        <v>72</v>
      </c>
      <c r="AG14" s="1" t="s">
        <v>72</v>
      </c>
      <c r="AH14" s="3">
        <f>COUNTA(July[[#This Row],[1]:[31]])</f>
        <v>13</v>
      </c>
      <c r="AK14" s="76">
        <f>SUM(AL14:AP14)</f>
        <v>3169045.5660377359</v>
      </c>
      <c r="AL14" s="76">
        <f>(4500000*13)/25</f>
        <v>2340000</v>
      </c>
      <c r="AM14" s="76">
        <f>$AI$5*July[[#This Row],[Total days]]</f>
        <v>260000</v>
      </c>
      <c r="AN14" s="76"/>
      <c r="AO14" s="76"/>
      <c r="AP14" s="76">
        <f>AC5*July[[#This Row],[Total days]]</f>
        <v>569045.5660377359</v>
      </c>
      <c r="AQ14" s="121"/>
      <c r="AR14" s="121"/>
    </row>
    <row r="15" spans="2:44" ht="22.2" customHeight="1">
      <c r="B15" s="31"/>
      <c r="C15" s="1"/>
      <c r="D15" s="1"/>
      <c r="E15" s="1"/>
      <c r="F15" s="1"/>
      <c r="G15" s="1"/>
      <c r="H15" s="86"/>
      <c r="I15" s="1"/>
      <c r="J15" s="1"/>
      <c r="K15" s="1"/>
      <c r="L15" s="1"/>
      <c r="M15" s="1"/>
      <c r="N15" s="1"/>
      <c r="O15" s="86"/>
      <c r="P15" s="1"/>
      <c r="Q15" s="1"/>
      <c r="R15" s="1"/>
      <c r="S15" s="1"/>
      <c r="T15" s="1"/>
      <c r="U15" s="1"/>
      <c r="V15" s="86"/>
      <c r="W15" s="1"/>
      <c r="X15" s="1"/>
      <c r="Y15" s="1"/>
      <c r="Z15" s="124"/>
      <c r="AA15" s="1"/>
      <c r="AB15" s="1"/>
      <c r="AC15" s="86"/>
      <c r="AD15" s="1"/>
      <c r="AE15" s="1"/>
      <c r="AF15" s="1"/>
      <c r="AG15" s="1"/>
      <c r="AH15" s="3">
        <f>COUNTA(July[[#This Row],[1]:[31]])</f>
        <v>0</v>
      </c>
      <c r="AK15" s="76">
        <f>SUM(AL15:AP15)</f>
        <v>0</v>
      </c>
      <c r="AL15" s="76"/>
      <c r="AM15" s="76">
        <f>$AI$5*July[[#This Row],[Total days]]</f>
        <v>0</v>
      </c>
      <c r="AN15" s="76"/>
      <c r="AO15" s="76"/>
      <c r="AP15" s="76">
        <f>AC9*July[[#This Row],[Total days]]</f>
        <v>0</v>
      </c>
      <c r="AQ15" s="121"/>
      <c r="AR15" s="121"/>
    </row>
    <row r="16" spans="2:44" ht="22.2" customHeight="1">
      <c r="B16" s="2"/>
      <c r="C16" s="1"/>
      <c r="D16" s="1"/>
      <c r="E16" s="1"/>
      <c r="F16" s="1"/>
      <c r="G16" s="1"/>
      <c r="H16" s="86"/>
      <c r="I16" s="1"/>
      <c r="J16" s="1"/>
      <c r="K16" s="1"/>
      <c r="L16" s="1"/>
      <c r="M16" s="1"/>
      <c r="N16" s="1"/>
      <c r="O16" s="86"/>
      <c r="P16" s="1"/>
      <c r="Q16" s="1"/>
      <c r="R16" s="1"/>
      <c r="S16" s="1"/>
      <c r="T16" s="1"/>
      <c r="U16" s="1"/>
      <c r="V16" s="86"/>
      <c r="W16" s="1"/>
      <c r="X16" s="1"/>
      <c r="Y16" s="1"/>
      <c r="Z16" s="124"/>
      <c r="AA16" s="1"/>
      <c r="AB16" s="1"/>
      <c r="AC16" s="86"/>
      <c r="AD16" s="1"/>
      <c r="AE16" s="1"/>
      <c r="AF16" s="1"/>
      <c r="AG16" s="1"/>
      <c r="AH16" s="3">
        <f>COUNTA(July[[#This Row],[1]:[31]])</f>
        <v>0</v>
      </c>
      <c r="AK16" s="76">
        <f t="shared" si="0"/>
        <v>0</v>
      </c>
      <c r="AL16" s="76"/>
      <c r="AM16" s="76">
        <f>$AI$5*July[[#This Row],[Total days]]</f>
        <v>0</v>
      </c>
      <c r="AN16" s="76"/>
      <c r="AO16" s="76"/>
      <c r="AP16" s="76">
        <f>AC10*July[[#This Row],[Total days]]</f>
        <v>0</v>
      </c>
      <c r="AQ16" s="121"/>
      <c r="AR16" s="121"/>
    </row>
    <row r="17" spans="2:44" ht="22.2" customHeight="1">
      <c r="B17" s="2"/>
      <c r="C17" s="1"/>
      <c r="D17" s="1"/>
      <c r="E17" s="1"/>
      <c r="F17" s="1"/>
      <c r="G17" s="1"/>
      <c r="H17" s="86"/>
      <c r="I17" s="1"/>
      <c r="J17" s="1"/>
      <c r="K17" s="1"/>
      <c r="L17" s="1"/>
      <c r="M17" s="1"/>
      <c r="N17" s="1"/>
      <c r="O17" s="86"/>
      <c r="P17" s="1"/>
      <c r="Q17" s="1"/>
      <c r="R17" s="1"/>
      <c r="S17" s="1"/>
      <c r="T17" s="1"/>
      <c r="U17" s="1"/>
      <c r="V17" s="86"/>
      <c r="W17" s="1"/>
      <c r="X17" s="1"/>
      <c r="Y17" s="1"/>
      <c r="Z17" s="124"/>
      <c r="AA17" s="1"/>
      <c r="AB17" s="1"/>
      <c r="AC17" s="86"/>
      <c r="AD17" s="1"/>
      <c r="AE17" s="1"/>
      <c r="AF17" s="1"/>
      <c r="AG17" s="1"/>
      <c r="AH17" s="3">
        <f>COUNTA(July[[#This Row],[1]:[31]])</f>
        <v>0</v>
      </c>
      <c r="AK17" s="76">
        <f t="shared" si="0"/>
        <v>0</v>
      </c>
      <c r="AL17" s="76"/>
      <c r="AM17" s="76">
        <f>$AI$5*July[[#This Row],[Total days]]</f>
        <v>0</v>
      </c>
      <c r="AN17" s="76"/>
      <c r="AO17" s="76"/>
      <c r="AP17" s="76">
        <f>$AC$5*June[[#This Row],[Working Day]]</f>
        <v>0</v>
      </c>
      <c r="AQ17" s="121"/>
      <c r="AR17" s="121"/>
    </row>
    <row r="18" spans="2:44" ht="22.2" customHeight="1">
      <c r="B18" s="5" t="str">
        <f>MonthName&amp;" Total"</f>
        <v>July Total</v>
      </c>
      <c r="C18" s="4">
        <f>SUBTOTAL(103,July[1])</f>
        <v>5</v>
      </c>
      <c r="D18" s="4">
        <f>SUBTOTAL(103,July[2])</f>
        <v>5</v>
      </c>
      <c r="E18" s="4">
        <f>SUBTOTAL(103,July[3])</f>
        <v>5</v>
      </c>
      <c r="F18" s="4">
        <f>SUBTOTAL(103,July[4])</f>
        <v>5</v>
      </c>
      <c r="G18" s="4">
        <f>SUBTOTAL(103,July[5])</f>
        <v>5</v>
      </c>
      <c r="H18" s="111">
        <f>SUBTOTAL(103,July[6])</f>
        <v>3</v>
      </c>
      <c r="I18" s="4">
        <f>SUBTOTAL(103,July[7])</f>
        <v>3</v>
      </c>
      <c r="J18" s="4">
        <f>SUBTOTAL(103,July[8])</f>
        <v>5</v>
      </c>
      <c r="K18" s="4">
        <f>SUBTOTAL(103,July[9])</f>
        <v>5</v>
      </c>
      <c r="L18" s="4">
        <f>SUBTOTAL(103,July[10])</f>
        <v>0</v>
      </c>
      <c r="M18" s="4">
        <f>SUBTOTAL(103,July[11])</f>
        <v>3</v>
      </c>
      <c r="N18" s="4">
        <f>SUBTOTAL(103,July[12])</f>
        <v>4</v>
      </c>
      <c r="O18" s="111">
        <f>SUBTOTAL(103,July[13])</f>
        <v>0</v>
      </c>
      <c r="P18" s="4">
        <f>SUBTOTAL(103,July[14])</f>
        <v>2</v>
      </c>
      <c r="Q18" s="4">
        <f>SUBTOTAL(103,July[15])</f>
        <v>6</v>
      </c>
      <c r="R18" s="4">
        <f>SUBTOTAL(103,July[16])</f>
        <v>6</v>
      </c>
      <c r="S18" s="4">
        <f>SUBTOTAL(103,July[17])</f>
        <v>6</v>
      </c>
      <c r="T18" s="4">
        <f>SUBTOTAL(103,July[18])</f>
        <v>3</v>
      </c>
      <c r="U18" s="4">
        <f>SUBTOTAL(103,July[19])</f>
        <v>6</v>
      </c>
      <c r="V18" s="111">
        <f>SUBTOTAL(103,July[20])</f>
        <v>0</v>
      </c>
      <c r="W18" s="4">
        <f>SUBTOTAL(103,July[21])</f>
        <v>6</v>
      </c>
      <c r="X18" s="4">
        <f>SUBTOTAL(103,July[22])</f>
        <v>6</v>
      </c>
      <c r="Y18" s="4">
        <f>SUBTOTAL(103,July[23])</f>
        <v>6</v>
      </c>
      <c r="Z18" s="4">
        <f>SUBTOTAL(103,July[24])</f>
        <v>0</v>
      </c>
      <c r="AA18" s="4">
        <f>SUBTOTAL(103,July[25])</f>
        <v>6</v>
      </c>
      <c r="AB18" s="4">
        <f>SUBTOTAL(103,July[26])</f>
        <v>6</v>
      </c>
      <c r="AC18" s="111">
        <f>SUBTOTAL(103,July[27])</f>
        <v>0</v>
      </c>
      <c r="AD18" s="4">
        <f>SUBTOTAL(103,July[28])</f>
        <v>6</v>
      </c>
      <c r="AE18" s="4">
        <f>SUBTOTAL(103,July[29])</f>
        <v>6</v>
      </c>
      <c r="AF18" s="4">
        <f>SUBTOTAL(109,July[30])</f>
        <v>0</v>
      </c>
      <c r="AG18" s="4">
        <f>SUBTOTAL(109,July[31])</f>
        <v>0</v>
      </c>
      <c r="AH18" s="4">
        <f>SUBTOTAL(109,July[Total days])</f>
        <v>106</v>
      </c>
      <c r="AK18" s="79">
        <f>SUM(AK9:AK17)</f>
        <v>28449910</v>
      </c>
      <c r="AL18" s="79">
        <f t="shared" ref="AL18:AQ18" si="1">SUM(AL9:AL17)</f>
        <v>21490000</v>
      </c>
      <c r="AM18" s="79">
        <f t="shared" si="1"/>
        <v>2120000</v>
      </c>
      <c r="AN18" s="79">
        <f t="shared" si="1"/>
        <v>200000</v>
      </c>
      <c r="AO18" s="79">
        <f t="shared" si="1"/>
        <v>0</v>
      </c>
      <c r="AP18" s="79">
        <f t="shared" si="1"/>
        <v>4639910</v>
      </c>
      <c r="AQ18" s="79">
        <f t="shared" si="1"/>
        <v>1000000</v>
      </c>
      <c r="AR18" s="79"/>
    </row>
    <row r="19" spans="2:44" ht="30" customHeight="1">
      <c r="AK19" s="133"/>
      <c r="AL19" s="134"/>
      <c r="AM19" s="134"/>
      <c r="AN19" s="135"/>
      <c r="AO19" s="79"/>
      <c r="AP19" s="79"/>
      <c r="AQ19" s="79"/>
      <c r="AR19" s="79"/>
    </row>
  </sheetData>
  <mergeCells count="12">
    <mergeCell ref="AP6:AQ7"/>
    <mergeCell ref="C6:AG6"/>
    <mergeCell ref="D4:F4"/>
    <mergeCell ref="L4:N4"/>
    <mergeCell ref="P4:R4"/>
    <mergeCell ref="T4:V4"/>
    <mergeCell ref="H5:J5"/>
    <mergeCell ref="L5:N5"/>
    <mergeCell ref="P5:R5"/>
    <mergeCell ref="T5:V5"/>
    <mergeCell ref="W5:AB5"/>
    <mergeCell ref="AC5:AH5"/>
  </mergeCells>
  <conditionalFormatting sqref="C9:AG17">
    <cfRule type="expression" priority="1" stopIfTrue="1">
      <formula>C9=""</formula>
    </cfRule>
    <cfRule type="expression" dxfId="924" priority="2" stopIfTrue="1">
      <formula>C9=KeyCustom2</formula>
    </cfRule>
    <cfRule type="expression" dxfId="923" priority="3" stopIfTrue="1">
      <formula>C9=KeyCustom1</formula>
    </cfRule>
    <cfRule type="expression" dxfId="922" priority="4" stopIfTrue="1">
      <formula>C9=KeySick</formula>
    </cfRule>
    <cfRule type="expression" dxfId="921" priority="5" stopIfTrue="1">
      <formula>C9=KeyPersonal</formula>
    </cfRule>
    <cfRule type="expression" dxfId="920" priority="6" stopIfTrue="1">
      <formula>C9=KeyVacation</formula>
    </cfRule>
  </conditionalFormatting>
  <conditionalFormatting sqref="AH9:AH17">
    <cfRule type="dataBar" priority="7">
      <dataBar>
        <cfvo type="min"/>
        <cfvo type="formula" val="DATEDIF(DATE(CalendarYear,2,1),DATE(CalendarYear,3,1),&quot;d&quot;)"/>
        <color theme="2" tint="-0.249977111117893"/>
      </dataBar>
      <extLst>
        <ext xmlns:x14="http://schemas.microsoft.com/office/spreadsheetml/2009/9/main" uri="{B025F937-C7B1-47D3-B67F-A62EFF666E3E}">
          <x14:id>{E0DCF129-9B2A-4CEB-9E56-27607F4BED20}</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8:C12"/>
    <dataValidation allowBlank="1" showInputMessage="1" showErrorMessage="1" prompt="Month name for this absence schedule is in this cell. Absence totals for this month are in last cell of the table. Select employee names in table column B" sqref="B2"/>
    <dataValidation allowBlank="1" showInputMessage="1" showErrorMessage="1" prompt="Enter a label to describe the custom key at left" sqref="H4:J4"/>
    <dataValidation allowBlank="1" showInputMessage="1" showErrorMessage="1" prompt="The letter &quot;S&quot; indicates absence due to illness" sqref="K4 O4 S4"/>
    <dataValidation allowBlank="1" showInputMessage="1" showErrorMessage="1" prompt="The letter &quot;P&quot; indicates absence due to personal reasons" sqref="G4"/>
    <dataValidation allowBlank="1" showInputMessage="1" showErrorMessage="1" prompt="The letter &quot;V&quot; indicates absence due to vacation" sqref="C4"/>
    <dataValidation allowBlank="1" showInputMessage="1" showErrorMessage="1" prompt="Automatically updated title is in this cell. To modify the title, update B1 on January worksheet" sqref="B2"/>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dataValidation allowBlank="1" showInputMessage="1" showErrorMessage="1" prompt="Track July absence in this worksheet" sqref="A1"/>
    <dataValidation allowBlank="1" showInputMessage="1" showErrorMessage="1" prompt="Automatically calculates total number of days an employee was absent this month in this column" sqref="AH8:AH12"/>
    <dataValidation allowBlank="1" showInputMessage="1" showErrorMessage="1" prompt="Automatically updated year based on year entered in January worksheet" sqref="AH6"/>
    <dataValidation allowBlank="1" showInputMessage="1" showErrorMessage="1" prompt="Weekdays in this row are automatically updated for the month according to the year in AH4. Each day of the month is a column to note an employee's absence and absence type" sqref="C7"/>
    <dataValidation allowBlank="1" showInputMessage="1" showErrorMessage="1" prompt="This row defines the keys used in the table: cell C4 is Vacation, G4 is Personal, &amp; K4 is Sick leave. Cells N4 &amp; R4 are customizable " sqref="B4"/>
    <dataValidation allowBlank="1" showInputMessage="1" showErrorMessage="1" prompt="Title of the worksheet is in this cell. " sqref="B1"/>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0DCF129-9B2A-4CEB-9E56-27607F4BED20}">
            <x14:dataBar minLength="0" maxLength="100">
              <x14:cfvo type="autoMin"/>
              <x14:cfvo type="formula">
                <xm:f>DATEDIF(DATE(CalendarYear,2,1),DATE(CalendarYear,3,1),"d")</xm:f>
              </x14:cfvo>
              <x14:negativeFillColor rgb="FFFF0000"/>
              <x14:axisColor rgb="FF000000"/>
            </x14:dataBar>
          </x14:cfRule>
          <xm:sqref>AH9:AH17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names'!$C$5:$C$23</xm:f>
          </x14:formula1>
          <xm:sqref>B9:B17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B1:AR40"/>
  <sheetViews>
    <sheetView showGridLines="0" zoomScale="70" zoomScaleNormal="70" workbookViewId="0">
      <selection activeCell="AQ14" sqref="AQ14"/>
    </sheetView>
  </sheetViews>
  <sheetFormatPr defaultColWidth="8.77734375" defaultRowHeight="30" customHeight="1"/>
  <cols>
    <col min="1" max="1" width="0.6640625" customWidth="1"/>
    <col min="2" max="2" width="15.77734375" customWidth="1"/>
    <col min="3" max="33" width="4.6640625" customWidth="1"/>
    <col min="34" max="34" width="10.109375" customWidth="1"/>
    <col min="35" max="35" width="10.33203125" customWidth="1"/>
    <col min="36" max="36" width="1.21875" customWidth="1"/>
    <col min="37" max="37" width="16.88671875" customWidth="1"/>
    <col min="38" max="38" width="14.109375" customWidth="1"/>
    <col min="39" max="39" width="12.5546875" customWidth="1"/>
    <col min="40" max="40" width="11.5546875" customWidth="1"/>
    <col min="41" max="41" width="10.6640625" customWidth="1"/>
    <col min="42" max="42" width="13.109375" customWidth="1"/>
    <col min="43" max="43" width="14.109375" style="145" customWidth="1"/>
    <col min="44" max="44" width="15" style="89" customWidth="1"/>
  </cols>
  <sheetData>
    <row r="1" spans="2:44" ht="24.6" customHeight="1">
      <c r="B1" s="24" t="s">
        <v>53</v>
      </c>
    </row>
    <row r="2" spans="2:44" ht="46.2" customHeight="1">
      <c r="B2" s="144" t="s">
        <v>47</v>
      </c>
    </row>
    <row r="3" spans="2:44" ht="15" customHeight="1" thickBot="1">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row>
    <row r="4" spans="2:44" ht="13.8" customHeight="1">
      <c r="B4" s="7" t="s">
        <v>54</v>
      </c>
      <c r="C4" s="39" t="s">
        <v>32</v>
      </c>
      <c r="D4" s="293" t="s">
        <v>37</v>
      </c>
      <c r="E4" s="293"/>
      <c r="F4" s="294"/>
      <c r="G4" s="34" t="s">
        <v>74</v>
      </c>
      <c r="H4" s="40" t="s">
        <v>73</v>
      </c>
      <c r="I4" s="41"/>
      <c r="J4" s="42"/>
      <c r="K4" s="38" t="s">
        <v>31</v>
      </c>
      <c r="L4" s="297" t="s">
        <v>75</v>
      </c>
      <c r="M4" s="297"/>
      <c r="N4" s="298"/>
      <c r="O4" s="139"/>
      <c r="P4" s="299" t="s">
        <v>111</v>
      </c>
      <c r="Q4" s="300"/>
      <c r="R4" s="301"/>
      <c r="S4" s="140"/>
      <c r="T4" s="304" t="s">
        <v>112</v>
      </c>
      <c r="U4" s="304"/>
      <c r="V4" s="305"/>
      <c r="W4" s="72" t="s">
        <v>86</v>
      </c>
      <c r="X4" s="70"/>
      <c r="Y4" s="70"/>
      <c r="Z4" s="70"/>
      <c r="AA4" s="70"/>
      <c r="AB4" s="71"/>
      <c r="AC4" s="72" t="s">
        <v>88</v>
      </c>
      <c r="AD4" s="70"/>
      <c r="AE4" s="70"/>
      <c r="AF4" s="70"/>
      <c r="AG4" s="70"/>
      <c r="AH4" s="70"/>
      <c r="AI4" s="77" t="s">
        <v>89</v>
      </c>
    </row>
    <row r="5" spans="2:44" ht="15" customHeight="1" thickBot="1">
      <c r="B5" s="8"/>
      <c r="C5" s="35"/>
      <c r="D5" s="36"/>
      <c r="E5" s="36"/>
      <c r="F5" s="37"/>
      <c r="G5" s="35"/>
      <c r="H5" s="295"/>
      <c r="I5" s="295"/>
      <c r="J5" s="296"/>
      <c r="K5" s="35"/>
      <c r="L5" s="295"/>
      <c r="M5" s="295"/>
      <c r="N5" s="296"/>
      <c r="O5" s="35"/>
      <c r="P5" s="302"/>
      <c r="Q5" s="302"/>
      <c r="R5" s="303"/>
      <c r="S5" s="35"/>
      <c r="T5" s="306"/>
      <c r="U5" s="306"/>
      <c r="V5" s="307"/>
      <c r="W5" s="286">
        <f>2408370+1421725</f>
        <v>3830095</v>
      </c>
      <c r="X5" s="287"/>
      <c r="Y5" s="287"/>
      <c r="Z5" s="287"/>
      <c r="AA5" s="287"/>
      <c r="AB5" s="288"/>
      <c r="AC5" s="290">
        <f>W5/August[[#Totals],[Total days]]</f>
        <v>35795.280373831774</v>
      </c>
      <c r="AD5" s="291"/>
      <c r="AE5" s="291"/>
      <c r="AF5" s="291"/>
      <c r="AG5" s="291"/>
      <c r="AH5" s="291"/>
      <c r="AI5" s="78">
        <v>20000</v>
      </c>
    </row>
    <row r="6" spans="2:44" ht="29.4" customHeight="1">
      <c r="B6" s="6"/>
      <c r="C6" s="283" t="s">
        <v>55</v>
      </c>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6">
        <f ca="1">CalendarYear</f>
        <v>2026</v>
      </c>
      <c r="AP6" s="289"/>
      <c r="AQ6" s="289"/>
    </row>
    <row r="7" spans="2:44" ht="30" customHeight="1">
      <c r="B7" s="6"/>
      <c r="C7" s="21" t="str">
        <f ca="1">TEXT(WEEKDAY(DATE(CalendarYear,8,1),1),"aaa")</f>
        <v>Sat</v>
      </c>
      <c r="D7" s="21" t="str">
        <f ca="1">TEXT(WEEKDAY(DATE(CalendarYear,8,2),1),"aaa")</f>
        <v>Sun</v>
      </c>
      <c r="E7" s="21" t="str">
        <f ca="1">TEXT(WEEKDAY(DATE(CalendarYear,8,3),1),"aaa")</f>
        <v>Mon</v>
      </c>
      <c r="F7" s="21" t="str">
        <f ca="1">TEXT(WEEKDAY(DATE(CalendarYear,8,4),1),"aaa")</f>
        <v>Tue</v>
      </c>
      <c r="G7" s="21" t="str">
        <f ca="1">TEXT(WEEKDAY(DATE(CalendarYear,8,5),1),"aaa")</f>
        <v>Wed</v>
      </c>
      <c r="H7" s="21" t="str">
        <f ca="1">TEXT(WEEKDAY(DATE(CalendarYear,8,6),1),"aaa")</f>
        <v>Thu</v>
      </c>
      <c r="I7" s="21" t="str">
        <f ca="1">TEXT(WEEKDAY(DATE(CalendarYear,8,7),1),"aaa")</f>
        <v>Fri</v>
      </c>
      <c r="J7" s="21" t="str">
        <f ca="1">TEXT(WEEKDAY(DATE(CalendarYear,8,8),1),"aaa")</f>
        <v>Sat</v>
      </c>
      <c r="K7" s="21" t="str">
        <f ca="1">TEXT(WEEKDAY(DATE(CalendarYear,8,9),1),"aaa")</f>
        <v>Sun</v>
      </c>
      <c r="L7" s="21" t="str">
        <f ca="1">TEXT(WEEKDAY(DATE(CalendarYear,8,10),1),"aaa")</f>
        <v>Mon</v>
      </c>
      <c r="M7" s="21" t="str">
        <f ca="1">TEXT(WEEKDAY(DATE(CalendarYear,8,11),1),"aaa")</f>
        <v>Tue</v>
      </c>
      <c r="N7" s="21" t="str">
        <f ca="1">TEXT(WEEKDAY(DATE(CalendarYear,8,12),1),"aaa")</f>
        <v>Wed</v>
      </c>
      <c r="O7" s="21" t="str">
        <f ca="1">TEXT(WEEKDAY(DATE(CalendarYear,8,13),1),"aaa")</f>
        <v>Thu</v>
      </c>
      <c r="P7" s="21" t="str">
        <f ca="1">TEXT(WEEKDAY(DATE(CalendarYear,8,14),1),"aaa")</f>
        <v>Fri</v>
      </c>
      <c r="Q7" s="21" t="str">
        <f ca="1">TEXT(WEEKDAY(DATE(CalendarYear,8,15),1),"aaa")</f>
        <v>Sat</v>
      </c>
      <c r="R7" s="21" t="str">
        <f ca="1">TEXT(WEEKDAY(DATE(CalendarYear,8,16),1),"aaa")</f>
        <v>Sun</v>
      </c>
      <c r="S7" s="21" t="str">
        <f ca="1">TEXT(WEEKDAY(DATE(CalendarYear,8,17),1),"aaa")</f>
        <v>Mon</v>
      </c>
      <c r="T7" s="21" t="str">
        <f ca="1">TEXT(WEEKDAY(DATE(CalendarYear,8,18),1),"aaa")</f>
        <v>Tue</v>
      </c>
      <c r="U7" s="21" t="str">
        <f ca="1">TEXT(WEEKDAY(DATE(CalendarYear,8,19),1),"aaa")</f>
        <v>Wed</v>
      </c>
      <c r="V7" s="21" t="str">
        <f ca="1">TEXT(WEEKDAY(DATE(CalendarYear,8,20),1),"aaa")</f>
        <v>Thu</v>
      </c>
      <c r="W7" s="21" t="str">
        <f ca="1">TEXT(WEEKDAY(DATE(CalendarYear,8,21),1),"aaa")</f>
        <v>Fri</v>
      </c>
      <c r="X7" s="21" t="str">
        <f ca="1">TEXT(WEEKDAY(DATE(CalendarYear,8,22),1),"aaa")</f>
        <v>Sat</v>
      </c>
      <c r="Y7" s="21" t="str">
        <f ca="1">TEXT(WEEKDAY(DATE(CalendarYear,8,23),1),"aaa")</f>
        <v>Sun</v>
      </c>
      <c r="Z7" s="21" t="str">
        <f ca="1">TEXT(WEEKDAY(DATE(CalendarYear,8,24),1),"aaa")</f>
        <v>Mon</v>
      </c>
      <c r="AA7" s="21" t="str">
        <f ca="1">TEXT(WEEKDAY(DATE(CalendarYear,8,25),1),"aaa")</f>
        <v>Tue</v>
      </c>
      <c r="AB7" s="21" t="str">
        <f ca="1">TEXT(WEEKDAY(DATE(CalendarYear,8,26),1),"aaa")</f>
        <v>Wed</v>
      </c>
      <c r="AC7" s="21" t="str">
        <f ca="1">TEXT(WEEKDAY(DATE(CalendarYear,8,27),1),"aaa")</f>
        <v>Thu</v>
      </c>
      <c r="AD7" s="21" t="str">
        <f ca="1">TEXT(WEEKDAY(DATE(CalendarYear,8,28),1),"aaa")</f>
        <v>Fri</v>
      </c>
      <c r="AE7" s="21" t="str">
        <f ca="1">TEXT(WEEKDAY(DATE(CalendarYear,8,29),1),"aaa")</f>
        <v>Sat</v>
      </c>
      <c r="AF7" s="21" t="str">
        <f ca="1">TEXT(WEEKDAY(DATE(CalendarYear,8,30),1),"aaa")</f>
        <v>Sun</v>
      </c>
      <c r="AG7" s="21" t="str">
        <f ca="1">TEXT(WEEKDAY(DATE(CalendarYear,8,31),1),"aaa")</f>
        <v>Mon</v>
      </c>
      <c r="AH7" s="6"/>
      <c r="AP7" s="289"/>
      <c r="AQ7" s="289"/>
    </row>
    <row r="8" spans="2:44" ht="16.2" customHeight="1">
      <c r="B8" s="20" t="s">
        <v>61</v>
      </c>
      <c r="C8" s="1" t="s">
        <v>0</v>
      </c>
      <c r="D8" s="1" t="s">
        <v>1</v>
      </c>
      <c r="E8" s="81" t="s">
        <v>2</v>
      </c>
      <c r="F8" s="1" t="s">
        <v>3</v>
      </c>
      <c r="G8" s="1" t="s">
        <v>4</v>
      </c>
      <c r="H8" s="1" t="s">
        <v>5</v>
      </c>
      <c r="I8" s="1" t="s">
        <v>6</v>
      </c>
      <c r="J8" s="1" t="s">
        <v>7</v>
      </c>
      <c r="K8" s="1" t="s">
        <v>8</v>
      </c>
      <c r="L8" s="81" t="s">
        <v>9</v>
      </c>
      <c r="M8" s="1" t="s">
        <v>10</v>
      </c>
      <c r="N8" s="1" t="s">
        <v>11</v>
      </c>
      <c r="O8" s="1" t="s">
        <v>12</v>
      </c>
      <c r="P8" s="1" t="s">
        <v>13</v>
      </c>
      <c r="Q8" s="1" t="s">
        <v>14</v>
      </c>
      <c r="R8" s="1" t="s">
        <v>15</v>
      </c>
      <c r="S8" s="81" t="s">
        <v>16</v>
      </c>
      <c r="T8" s="1" t="s">
        <v>17</v>
      </c>
      <c r="U8" s="1" t="s">
        <v>18</v>
      </c>
      <c r="V8" s="1" t="s">
        <v>19</v>
      </c>
      <c r="W8" s="1" t="s">
        <v>20</v>
      </c>
      <c r="X8" s="1" t="s">
        <v>21</v>
      </c>
      <c r="Y8" s="1" t="s">
        <v>22</v>
      </c>
      <c r="Z8" s="81" t="s">
        <v>23</v>
      </c>
      <c r="AA8" s="1" t="s">
        <v>24</v>
      </c>
      <c r="AB8" s="1" t="s">
        <v>25</v>
      </c>
      <c r="AC8" s="1" t="s">
        <v>26</v>
      </c>
      <c r="AD8" s="1" t="s">
        <v>27</v>
      </c>
      <c r="AE8" s="1" t="s">
        <v>28</v>
      </c>
      <c r="AF8" s="1" t="s">
        <v>29</v>
      </c>
      <c r="AG8" s="81" t="s">
        <v>30</v>
      </c>
      <c r="AH8" s="22" t="s">
        <v>62</v>
      </c>
      <c r="AK8" s="75" t="s">
        <v>87</v>
      </c>
      <c r="AL8" s="53" t="s">
        <v>76</v>
      </c>
      <c r="AM8" s="54" t="s">
        <v>77</v>
      </c>
      <c r="AN8" s="54" t="s">
        <v>78</v>
      </c>
      <c r="AO8" s="126" t="s">
        <v>99</v>
      </c>
      <c r="AP8" s="73" t="s">
        <v>85</v>
      </c>
    </row>
    <row r="9" spans="2:44" ht="23.4" customHeight="1">
      <c r="B9" s="118" t="s">
        <v>71</v>
      </c>
      <c r="C9" s="1" t="s">
        <v>72</v>
      </c>
      <c r="D9" s="59"/>
      <c r="E9" s="81"/>
      <c r="F9" s="1" t="s">
        <v>72</v>
      </c>
      <c r="G9" s="1" t="s">
        <v>72</v>
      </c>
      <c r="H9" s="1" t="s">
        <v>72</v>
      </c>
      <c r="I9" s="1" t="s">
        <v>72</v>
      </c>
      <c r="J9" s="1" t="s">
        <v>72</v>
      </c>
      <c r="K9" s="1" t="s">
        <v>72</v>
      </c>
      <c r="L9" s="81"/>
      <c r="M9" s="1" t="s">
        <v>72</v>
      </c>
      <c r="N9" s="1" t="s">
        <v>72</v>
      </c>
      <c r="O9" s="1" t="s">
        <v>72</v>
      </c>
      <c r="P9" s="1" t="s">
        <v>72</v>
      </c>
      <c r="Q9" s="1" t="s">
        <v>72</v>
      </c>
      <c r="R9" s="1" t="s">
        <v>72</v>
      </c>
      <c r="S9" s="81"/>
      <c r="T9" s="1" t="s">
        <v>72</v>
      </c>
      <c r="U9" s="1" t="s">
        <v>72</v>
      </c>
      <c r="V9" s="1" t="s">
        <v>72</v>
      </c>
      <c r="W9" s="1" t="s">
        <v>72</v>
      </c>
      <c r="X9" s="1" t="s">
        <v>72</v>
      </c>
      <c r="Y9" s="1" t="s">
        <v>72</v>
      </c>
      <c r="Z9" s="81"/>
      <c r="AA9" s="1" t="s">
        <v>72</v>
      </c>
      <c r="AB9" s="1" t="s">
        <v>72</v>
      </c>
      <c r="AC9" s="1" t="s">
        <v>72</v>
      </c>
      <c r="AD9" s="1" t="s">
        <v>72</v>
      </c>
      <c r="AE9" s="1" t="s">
        <v>72</v>
      </c>
      <c r="AF9" s="1" t="s">
        <v>72</v>
      </c>
      <c r="AG9" s="81"/>
      <c r="AH9" s="3"/>
      <c r="AK9" s="76"/>
      <c r="AL9" s="76"/>
      <c r="AM9" s="76"/>
      <c r="AN9" s="76"/>
      <c r="AO9" s="76"/>
      <c r="AP9" s="76">
        <f>$AC$5*June[[#This Row],[Working Day]]</f>
        <v>0</v>
      </c>
    </row>
    <row r="10" spans="2:44" ht="23.4" customHeight="1">
      <c r="B10" s="118" t="s">
        <v>69</v>
      </c>
      <c r="C10" s="1" t="s">
        <v>72</v>
      </c>
      <c r="D10" s="59"/>
      <c r="E10" s="81"/>
      <c r="F10" s="1" t="s">
        <v>72</v>
      </c>
      <c r="G10" s="1" t="s">
        <v>72</v>
      </c>
      <c r="H10" s="1" t="s">
        <v>72</v>
      </c>
      <c r="I10" s="1" t="s">
        <v>72</v>
      </c>
      <c r="J10" s="141"/>
      <c r="K10" s="141"/>
      <c r="L10" s="81"/>
      <c r="M10" s="141"/>
      <c r="N10" s="1" t="s">
        <v>72</v>
      </c>
      <c r="O10" s="1" t="s">
        <v>72</v>
      </c>
      <c r="P10" s="1" t="s">
        <v>72</v>
      </c>
      <c r="Q10" s="1" t="s">
        <v>72</v>
      </c>
      <c r="R10" s="142"/>
      <c r="S10" s="81"/>
      <c r="T10" s="142"/>
      <c r="U10" s="1" t="s">
        <v>72</v>
      </c>
      <c r="V10" s="1" t="s">
        <v>72</v>
      </c>
      <c r="W10" s="1" t="s">
        <v>72</v>
      </c>
      <c r="X10" s="1" t="s">
        <v>72</v>
      </c>
      <c r="Y10" s="142"/>
      <c r="Z10" s="81"/>
      <c r="AA10" s="142"/>
      <c r="AB10" s="142"/>
      <c r="AC10" s="142"/>
      <c r="AD10" s="142"/>
      <c r="AE10" s="142"/>
      <c r="AF10" s="142"/>
      <c r="AG10" s="81"/>
      <c r="AH10" s="3">
        <f>COUNTA(August[[#This Row],[1]:[31]])</f>
        <v>13</v>
      </c>
      <c r="AK10" s="76">
        <f>SUM(AL10:AP10)</f>
        <v>5375338.6448598132</v>
      </c>
      <c r="AL10" s="76">
        <v>4500000</v>
      </c>
      <c r="AM10" s="76">
        <f>$AI$5*August[[#This Row],[Total days]]</f>
        <v>260000</v>
      </c>
      <c r="AN10" s="76">
        <v>50000</v>
      </c>
      <c r="AO10" s="76"/>
      <c r="AP10" s="76">
        <f>($AC$5*August[[#This Row],[Total days]])+100000</f>
        <v>565338.64485981304</v>
      </c>
    </row>
    <row r="11" spans="2:44" ht="23.4" customHeight="1">
      <c r="B11" s="118" t="s">
        <v>65</v>
      </c>
      <c r="C11" s="1" t="s">
        <v>72</v>
      </c>
      <c r="D11" s="59"/>
      <c r="E11" s="81"/>
      <c r="F11" s="1" t="s">
        <v>72</v>
      </c>
      <c r="G11" s="1" t="s">
        <v>72</v>
      </c>
      <c r="H11" s="1" t="s">
        <v>72</v>
      </c>
      <c r="I11" s="1" t="s">
        <v>72</v>
      </c>
      <c r="J11" s="1" t="s">
        <v>72</v>
      </c>
      <c r="K11" s="142"/>
      <c r="L11" s="81"/>
      <c r="M11" s="1" t="s">
        <v>72</v>
      </c>
      <c r="N11" s="1" t="s">
        <v>72</v>
      </c>
      <c r="O11" s="1" t="s">
        <v>72</v>
      </c>
      <c r="P11" s="1" t="s">
        <v>72</v>
      </c>
      <c r="Q11" s="1" t="s">
        <v>72</v>
      </c>
      <c r="R11" s="1" t="s">
        <v>72</v>
      </c>
      <c r="S11" s="81"/>
      <c r="T11" s="1" t="s">
        <v>72</v>
      </c>
      <c r="U11" s="1" t="s">
        <v>72</v>
      </c>
      <c r="V11" s="1" t="s">
        <v>72</v>
      </c>
      <c r="W11" s="1" t="s">
        <v>72</v>
      </c>
      <c r="X11" s="1" t="s">
        <v>72</v>
      </c>
      <c r="Y11" s="1" t="s">
        <v>72</v>
      </c>
      <c r="Z11" s="81"/>
      <c r="AA11" s="1" t="s">
        <v>72</v>
      </c>
      <c r="AB11" s="1" t="s">
        <v>72</v>
      </c>
      <c r="AC11" s="1" t="s">
        <v>72</v>
      </c>
      <c r="AD11" s="1" t="s">
        <v>72</v>
      </c>
      <c r="AE11" s="1" t="s">
        <v>72</v>
      </c>
      <c r="AF11" s="1" t="s">
        <v>72</v>
      </c>
      <c r="AG11" s="81"/>
      <c r="AH11" s="3">
        <f>COUNTA(August[[#This Row],[1]:[31]])</f>
        <v>24</v>
      </c>
      <c r="AK11" s="76">
        <f>SUM(AL11:AP11)</f>
        <v>6889086.7289719628</v>
      </c>
      <c r="AL11" s="76">
        <v>5500000</v>
      </c>
      <c r="AM11" s="76">
        <f>$AI$5*August[[#This Row],[Total days]]</f>
        <v>480000</v>
      </c>
      <c r="AN11" s="76">
        <v>50000</v>
      </c>
      <c r="AO11" s="76"/>
      <c r="AP11" s="76">
        <f>$AC$5*August[[#This Row],[Total days]]</f>
        <v>859086.72897196258</v>
      </c>
    </row>
    <row r="12" spans="2:44" ht="23.4" customHeight="1">
      <c r="B12" s="118" t="s">
        <v>66</v>
      </c>
      <c r="C12" s="1" t="s">
        <v>72</v>
      </c>
      <c r="D12" s="1" t="s">
        <v>72</v>
      </c>
      <c r="E12" s="81"/>
      <c r="F12" s="1" t="s">
        <v>72</v>
      </c>
      <c r="G12" s="1" t="s">
        <v>72</v>
      </c>
      <c r="H12" s="1" t="s">
        <v>72</v>
      </c>
      <c r="I12" s="1" t="s">
        <v>72</v>
      </c>
      <c r="J12" s="1" t="s">
        <v>72</v>
      </c>
      <c r="K12" s="142"/>
      <c r="L12" s="81"/>
      <c r="M12" s="1" t="s">
        <v>72</v>
      </c>
      <c r="N12" s="1" t="s">
        <v>72</v>
      </c>
      <c r="O12" s="1" t="s">
        <v>72</v>
      </c>
      <c r="P12" s="1" t="s">
        <v>72</v>
      </c>
      <c r="Q12" s="1" t="s">
        <v>72</v>
      </c>
      <c r="R12" s="142"/>
      <c r="S12" s="81"/>
      <c r="T12" s="1" t="s">
        <v>72</v>
      </c>
      <c r="U12" s="1" t="s">
        <v>72</v>
      </c>
      <c r="V12" s="1" t="s">
        <v>72</v>
      </c>
      <c r="W12" s="1" t="s">
        <v>72</v>
      </c>
      <c r="X12" s="1" t="s">
        <v>72</v>
      </c>
      <c r="Y12" s="142"/>
      <c r="Z12" s="81"/>
      <c r="AA12" s="1" t="s">
        <v>72</v>
      </c>
      <c r="AB12" s="1" t="s">
        <v>72</v>
      </c>
      <c r="AC12" s="1" t="s">
        <v>72</v>
      </c>
      <c r="AD12" s="1" t="s">
        <v>72</v>
      </c>
      <c r="AE12" s="1" t="s">
        <v>72</v>
      </c>
      <c r="AF12" s="142"/>
      <c r="AG12" s="81"/>
      <c r="AH12" s="3">
        <f>COUNTA(August[[#This Row],[1]:[31]])</f>
        <v>22</v>
      </c>
      <c r="AK12" s="76">
        <f>SUM(AL12:AP12)</f>
        <v>5377496.1682242993</v>
      </c>
      <c r="AL12" s="76">
        <v>4100000</v>
      </c>
      <c r="AM12" s="76">
        <f>$AI$5*August[[#This Row],[Total days]]</f>
        <v>440000</v>
      </c>
      <c r="AN12" s="76">
        <v>50000</v>
      </c>
      <c r="AO12" s="76"/>
      <c r="AP12" s="76">
        <f>$AC$5*August[[#This Row],[Total days]]</f>
        <v>787496.16822429909</v>
      </c>
    </row>
    <row r="13" spans="2:44" ht="23.4" customHeight="1">
      <c r="B13" s="118" t="s">
        <v>68</v>
      </c>
      <c r="C13" s="1" t="s">
        <v>72</v>
      </c>
      <c r="D13" s="1" t="s">
        <v>72</v>
      </c>
      <c r="E13" s="81"/>
      <c r="F13" s="1" t="s">
        <v>72</v>
      </c>
      <c r="G13" s="142"/>
      <c r="H13" s="1" t="s">
        <v>72</v>
      </c>
      <c r="I13" s="1" t="s">
        <v>72</v>
      </c>
      <c r="J13" s="1" t="s">
        <v>72</v>
      </c>
      <c r="K13" s="1" t="s">
        <v>72</v>
      </c>
      <c r="L13" s="81"/>
      <c r="M13" s="1" t="s">
        <v>72</v>
      </c>
      <c r="N13" s="1" t="s">
        <v>72</v>
      </c>
      <c r="O13" s="1" t="s">
        <v>72</v>
      </c>
      <c r="P13" s="1" t="s">
        <v>72</v>
      </c>
      <c r="Q13" s="1" t="s">
        <v>72</v>
      </c>
      <c r="R13" s="1" t="s">
        <v>72</v>
      </c>
      <c r="S13" s="81"/>
      <c r="T13" s="1" t="s">
        <v>72</v>
      </c>
      <c r="U13" s="1" t="s">
        <v>72</v>
      </c>
      <c r="V13" s="1" t="s">
        <v>72</v>
      </c>
      <c r="W13" s="1" t="s">
        <v>72</v>
      </c>
      <c r="X13" s="1" t="s">
        <v>72</v>
      </c>
      <c r="Y13" s="1" t="s">
        <v>72</v>
      </c>
      <c r="Z13" s="81"/>
      <c r="AA13" s="1" t="s">
        <v>72</v>
      </c>
      <c r="AB13" s="1" t="s">
        <v>72</v>
      </c>
      <c r="AC13" s="1" t="s">
        <v>72</v>
      </c>
      <c r="AD13" s="1" t="s">
        <v>72</v>
      </c>
      <c r="AE13" s="1" t="s">
        <v>72</v>
      </c>
      <c r="AF13" s="1" t="s">
        <v>72</v>
      </c>
      <c r="AG13" s="81"/>
      <c r="AH13" s="3">
        <f>COUNTA(August[[#This Row],[1]:[31]])</f>
        <v>25</v>
      </c>
      <c r="AK13" s="76">
        <f t="shared" ref="AK13:AK14" si="0">SUM(AL13:AP13)</f>
        <v>6394882.0093457941</v>
      </c>
      <c r="AL13" s="76">
        <v>5000000</v>
      </c>
      <c r="AM13" s="76">
        <f>$AI$5*August[[#This Row],[Total days]]</f>
        <v>500000</v>
      </c>
      <c r="AN13" s="76">
        <v>50000</v>
      </c>
      <c r="AO13" s="76"/>
      <c r="AP13" s="76">
        <f>($AC$5*August[[#This Row],[Total days]])-50000</f>
        <v>844882.00934579433</v>
      </c>
    </row>
    <row r="14" spans="2:44" ht="23.4" customHeight="1">
      <c r="B14" s="119" t="s">
        <v>94</v>
      </c>
      <c r="C14" s="1" t="s">
        <v>72</v>
      </c>
      <c r="D14" s="1" t="s">
        <v>72</v>
      </c>
      <c r="E14" s="136"/>
      <c r="F14" t="s">
        <v>72</v>
      </c>
      <c r="G14" t="s">
        <v>72</v>
      </c>
      <c r="H14" t="s">
        <v>72</v>
      </c>
      <c r="I14" t="s">
        <v>72</v>
      </c>
      <c r="J14" t="s">
        <v>72</v>
      </c>
      <c r="K14" t="s">
        <v>72</v>
      </c>
      <c r="L14" s="136"/>
      <c r="M14" t="s">
        <v>72</v>
      </c>
      <c r="N14" t="s">
        <v>72</v>
      </c>
      <c r="O14" t="s">
        <v>72</v>
      </c>
      <c r="P14" t="s">
        <v>72</v>
      </c>
      <c r="Q14" t="s">
        <v>72</v>
      </c>
      <c r="R14" s="142"/>
      <c r="S14" s="136"/>
      <c r="T14" s="1" t="s">
        <v>72</v>
      </c>
      <c r="U14" s="1" t="s">
        <v>72</v>
      </c>
      <c r="V14" s="1" t="s">
        <v>72</v>
      </c>
      <c r="W14" s="1" t="s">
        <v>72</v>
      </c>
      <c r="X14" s="1" t="s">
        <v>72</v>
      </c>
      <c r="Y14" s="142"/>
      <c r="Z14" s="136"/>
      <c r="AA14" s="1" t="s">
        <v>72</v>
      </c>
      <c r="AB14" s="1" t="s">
        <v>72</v>
      </c>
      <c r="AC14" s="1" t="s">
        <v>72</v>
      </c>
      <c r="AD14" s="1" t="s">
        <v>72</v>
      </c>
      <c r="AE14" s="1" t="s">
        <v>72</v>
      </c>
      <c r="AF14" s="142"/>
      <c r="AG14" s="138"/>
      <c r="AH14" s="32">
        <f>COUNTA(August[[#This Row],[1]:[31]])</f>
        <v>23</v>
      </c>
      <c r="AK14" s="76">
        <f t="shared" si="0"/>
        <v>5483291.4485981306</v>
      </c>
      <c r="AL14" s="76">
        <v>4200000</v>
      </c>
      <c r="AM14" s="76">
        <f>$AI$5*August[[#This Row],[Total days]]</f>
        <v>460000</v>
      </c>
      <c r="AN14" s="76">
        <v>50000</v>
      </c>
      <c r="AO14" s="76"/>
      <c r="AP14" s="76">
        <f>($AC$5*August[[#This Row],[Total days]])-50000</f>
        <v>773291.44859813084</v>
      </c>
      <c r="AQ14" s="145">
        <v>5000000</v>
      </c>
      <c r="AR14" s="148"/>
    </row>
    <row r="15" spans="2:44" ht="18" customHeight="1">
      <c r="B15" s="119"/>
      <c r="C15" s="1"/>
      <c r="D15" s="1"/>
      <c r="E15" s="136"/>
      <c r="L15" s="136"/>
      <c r="O15" s="1"/>
      <c r="P15" s="1"/>
      <c r="Q15" s="1"/>
      <c r="R15" s="142"/>
      <c r="S15" s="136"/>
      <c r="T15" s="1"/>
      <c r="U15" s="1"/>
      <c r="V15" s="1"/>
      <c r="W15" s="1"/>
      <c r="X15" s="1"/>
      <c r="Y15" s="142"/>
      <c r="Z15" s="136"/>
      <c r="AA15" s="1"/>
      <c r="AB15" s="1"/>
      <c r="AC15" s="1"/>
      <c r="AD15" s="1"/>
      <c r="AE15" s="1"/>
      <c r="AF15" s="142"/>
      <c r="AG15" s="138"/>
      <c r="AH15" s="32">
        <f>COUNTA(August[[#This Row],[1]:[31]])</f>
        <v>0</v>
      </c>
      <c r="AK15" s="76"/>
      <c r="AL15" s="76"/>
      <c r="AM15" s="76"/>
      <c r="AN15" s="76"/>
      <c r="AO15" s="76"/>
      <c r="AP15" s="76"/>
    </row>
    <row r="16" spans="2:44" ht="24.6" customHeight="1">
      <c r="B16" s="143"/>
      <c r="C16" s="4">
        <f>SUBTOTAL(103,August[1])</f>
        <v>6</v>
      </c>
      <c r="D16" s="4">
        <f>SUBTOTAL(103,August[2])</f>
        <v>3</v>
      </c>
      <c r="E16" s="137">
        <f>SUBTOTAL(103,August[3])</f>
        <v>0</v>
      </c>
      <c r="F16" s="4">
        <f>SUBTOTAL(103,August[4])</f>
        <v>6</v>
      </c>
      <c r="G16" s="4">
        <f>SUBTOTAL(103,August[5])</f>
        <v>5</v>
      </c>
      <c r="H16" s="4">
        <f>SUBTOTAL(103,August[6])</f>
        <v>6</v>
      </c>
      <c r="I16" s="4">
        <f>SUBTOTAL(103,August[7])</f>
        <v>6</v>
      </c>
      <c r="J16" s="4">
        <f>SUBTOTAL(103,August[8])</f>
        <v>5</v>
      </c>
      <c r="K16" s="4">
        <f>SUBTOTAL(103,August[9])</f>
        <v>3</v>
      </c>
      <c r="L16" s="137">
        <f>SUBTOTAL(103,August[10])</f>
        <v>0</v>
      </c>
      <c r="M16" s="4">
        <f>SUBTOTAL(103,August[11])</f>
        <v>5</v>
      </c>
      <c r="N16" s="4">
        <f>SUBTOTAL(103,August[12])</f>
        <v>6</v>
      </c>
      <c r="O16" s="4">
        <f>SUBTOTAL(103,August[13])</f>
        <v>6</v>
      </c>
      <c r="P16" s="4">
        <f>SUBTOTAL(103,August[14])</f>
        <v>6</v>
      </c>
      <c r="Q16" s="4">
        <f>SUBTOTAL(103,August[15])</f>
        <v>6</v>
      </c>
      <c r="R16" s="4">
        <f>SUBTOTAL(103,August[16])</f>
        <v>3</v>
      </c>
      <c r="S16" s="137">
        <f>SUBTOTAL(103,August[17])</f>
        <v>0</v>
      </c>
      <c r="T16" s="4">
        <f>SUBTOTAL(103,August[18])</f>
        <v>5</v>
      </c>
      <c r="U16" s="4">
        <f>SUBTOTAL(103,August[19])</f>
        <v>6</v>
      </c>
      <c r="V16" s="4">
        <f>SUBTOTAL(103,August[20])</f>
        <v>6</v>
      </c>
      <c r="W16" s="4">
        <f>SUBTOTAL(103,August[21])</f>
        <v>6</v>
      </c>
      <c r="X16" s="4">
        <f>SUBTOTAL(103,August[22])</f>
        <v>6</v>
      </c>
      <c r="Y16" s="4">
        <f>SUBTOTAL(103,August[23])</f>
        <v>3</v>
      </c>
      <c r="Z16" s="137">
        <f>SUBTOTAL(103,August[24])</f>
        <v>0</v>
      </c>
      <c r="AA16" s="4">
        <f>SUBTOTAL(103,August[25])</f>
        <v>5</v>
      </c>
      <c r="AB16" s="4">
        <f>SUBTOTAL(103,August[26])</f>
        <v>5</v>
      </c>
      <c r="AC16" s="4">
        <f>SUBTOTAL(103,August[27])</f>
        <v>5</v>
      </c>
      <c r="AD16" s="4">
        <f>SUBTOTAL(103,August[28])</f>
        <v>5</v>
      </c>
      <c r="AE16" s="4">
        <f>SUBTOTAL(103,August[29])</f>
        <v>5</v>
      </c>
      <c r="AF16" s="4">
        <f>SUBTOTAL(109,August[30])</f>
        <v>0</v>
      </c>
      <c r="AG16" s="137">
        <f>SUBTOTAL(109,August[31])</f>
        <v>0</v>
      </c>
      <c r="AH16" s="4">
        <f>SUBTOTAL(109,August[Total days])</f>
        <v>107</v>
      </c>
      <c r="AK16" s="79">
        <f>SUM(AK9:AK14)</f>
        <v>29520095</v>
      </c>
      <c r="AL16" s="79">
        <f t="shared" ref="AL16:AP16" si="1">SUM(AL9:AL14)</f>
        <v>23300000</v>
      </c>
      <c r="AM16" s="79">
        <f t="shared" si="1"/>
        <v>2140000</v>
      </c>
      <c r="AN16" s="79">
        <f t="shared" si="1"/>
        <v>250000</v>
      </c>
      <c r="AO16" s="79">
        <f t="shared" si="1"/>
        <v>0</v>
      </c>
      <c r="AP16" s="79">
        <f t="shared" si="1"/>
        <v>3830094.9999999991</v>
      </c>
    </row>
    <row r="18" spans="2:44" ht="30" customHeight="1">
      <c r="B18" s="127" t="s">
        <v>102</v>
      </c>
      <c r="C18" s="127" t="s">
        <v>103</v>
      </c>
      <c r="D18" s="127"/>
      <c r="E18" s="127"/>
      <c r="F18" s="127"/>
      <c r="G18" s="127"/>
      <c r="H18" s="127"/>
      <c r="I18" s="127"/>
      <c r="J18" s="127"/>
      <c r="K18" s="127"/>
      <c r="L18" s="127"/>
      <c r="M18" s="127"/>
      <c r="N18" s="127"/>
    </row>
    <row r="19" spans="2:44" s="129" customFormat="1" ht="45" customHeight="1">
      <c r="B19" s="128"/>
      <c r="C19" s="308" t="s">
        <v>104</v>
      </c>
      <c r="D19" s="308"/>
      <c r="E19" s="308"/>
      <c r="F19" s="308"/>
      <c r="G19" s="308"/>
      <c r="H19" s="308"/>
      <c r="I19" s="308"/>
      <c r="J19" s="308"/>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308"/>
      <c r="AI19" s="308"/>
      <c r="AJ19" s="308"/>
      <c r="AK19" s="308"/>
      <c r="AL19" s="308"/>
      <c r="AQ19" s="146"/>
      <c r="AR19" s="147"/>
    </row>
    <row r="20" spans="2:44" s="129" customFormat="1" ht="45" customHeight="1">
      <c r="B20" s="128"/>
      <c r="C20" s="308"/>
      <c r="D20" s="308"/>
      <c r="E20" s="308"/>
      <c r="F20" s="308"/>
      <c r="G20" s="308"/>
      <c r="H20" s="308"/>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308"/>
      <c r="AI20" s="308"/>
      <c r="AJ20" s="308"/>
      <c r="AK20" s="308"/>
      <c r="AL20" s="308"/>
      <c r="AM20" s="147"/>
      <c r="AQ20" s="146"/>
      <c r="AR20" s="147"/>
    </row>
    <row r="21" spans="2:44" s="129" customFormat="1" ht="45" customHeight="1">
      <c r="B21" s="128"/>
      <c r="C21" s="308" t="s">
        <v>105</v>
      </c>
      <c r="D21" s="308"/>
      <c r="E21" s="308"/>
      <c r="F21" s="308"/>
      <c r="G21" s="308"/>
      <c r="H21" s="308"/>
      <c r="I21" s="308"/>
      <c r="J21" s="308"/>
      <c r="K21" s="308"/>
      <c r="L21" s="308"/>
      <c r="M21" s="308"/>
      <c r="N21" s="308"/>
      <c r="O21" s="308"/>
      <c r="P21" s="308"/>
      <c r="Q21" s="308"/>
      <c r="R21" s="308"/>
      <c r="S21" s="308"/>
      <c r="T21" s="308"/>
      <c r="U21" s="308"/>
      <c r="V21" s="308"/>
      <c r="W21" s="308"/>
      <c r="X21" s="308"/>
      <c r="Y21" s="308"/>
      <c r="Z21" s="308"/>
      <c r="AA21" s="308"/>
      <c r="AB21" s="308"/>
      <c r="AC21" s="308"/>
      <c r="AD21" s="308"/>
      <c r="AE21" s="308"/>
      <c r="AF21" s="308"/>
      <c r="AG21" s="308"/>
      <c r="AH21" s="308"/>
      <c r="AI21" s="308"/>
      <c r="AJ21" s="308"/>
      <c r="AK21" s="308"/>
      <c r="AL21" s="308"/>
      <c r="AM21" s="308"/>
      <c r="AQ21" s="146"/>
      <c r="AR21" s="147"/>
    </row>
    <row r="22" spans="2:44" s="129" customFormat="1" ht="45" customHeight="1">
      <c r="B22" s="128"/>
      <c r="C22" s="308"/>
      <c r="D22" s="308"/>
      <c r="E22" s="308"/>
      <c r="F22" s="308"/>
      <c r="G22" s="308"/>
      <c r="H22" s="308"/>
      <c r="I22" s="308"/>
      <c r="J22" s="308"/>
      <c r="K22" s="308"/>
      <c r="L22" s="308"/>
      <c r="M22" s="308"/>
      <c r="N22" s="308"/>
      <c r="O22" s="308"/>
      <c r="P22" s="308"/>
      <c r="Q22" s="308"/>
      <c r="R22" s="308"/>
      <c r="S22" s="308"/>
      <c r="T22" s="308"/>
      <c r="U22" s="308"/>
      <c r="V22" s="308"/>
      <c r="W22" s="308"/>
      <c r="X22" s="308"/>
      <c r="Y22" s="308"/>
      <c r="Z22" s="308"/>
      <c r="AA22" s="308"/>
      <c r="AB22" s="308"/>
      <c r="AC22" s="308"/>
      <c r="AD22" s="308"/>
      <c r="AE22" s="308"/>
      <c r="AF22" s="308"/>
      <c r="AG22" s="308"/>
      <c r="AH22" s="308"/>
      <c r="AI22" s="308"/>
      <c r="AJ22" s="308"/>
      <c r="AK22" s="308"/>
      <c r="AL22" s="308"/>
      <c r="AM22" s="308"/>
      <c r="AQ22" s="146"/>
      <c r="AR22" s="147"/>
    </row>
    <row r="23" spans="2:44" s="129" customFormat="1" ht="45" customHeight="1">
      <c r="C23" s="308" t="s">
        <v>106</v>
      </c>
      <c r="D23" s="308"/>
      <c r="E23" s="308"/>
      <c r="F23" s="308"/>
      <c r="G23" s="308"/>
      <c r="H23" s="308"/>
      <c r="I23" s="308"/>
      <c r="J23" s="308"/>
      <c r="K23" s="308"/>
      <c r="L23" s="308"/>
      <c r="M23" s="308"/>
      <c r="N23" s="308"/>
      <c r="O23" s="308"/>
      <c r="P23" s="308"/>
      <c r="Q23" s="308"/>
      <c r="R23" s="308"/>
      <c r="S23" s="308"/>
      <c r="T23" s="308"/>
      <c r="U23" s="308"/>
      <c r="V23" s="308"/>
      <c r="W23" s="308"/>
      <c r="X23" s="308"/>
      <c r="Y23" s="308"/>
      <c r="Z23" s="308"/>
      <c r="AA23" s="308"/>
      <c r="AB23" s="308"/>
      <c r="AC23" s="308"/>
      <c r="AD23" s="308"/>
      <c r="AE23" s="308"/>
      <c r="AF23" s="308"/>
      <c r="AG23" s="308"/>
      <c r="AH23" s="308"/>
      <c r="AI23" s="308"/>
      <c r="AJ23" s="308"/>
      <c r="AK23" s="308"/>
      <c r="AL23" s="308"/>
      <c r="AM23" s="308"/>
      <c r="AQ23" s="146"/>
      <c r="AR23" s="147"/>
    </row>
    <row r="24" spans="2:44" s="129" customFormat="1" ht="45" customHeight="1">
      <c r="C24" s="308"/>
      <c r="D24" s="308"/>
      <c r="E24" s="308"/>
      <c r="F24" s="308"/>
      <c r="G24" s="308"/>
      <c r="H24" s="308"/>
      <c r="I24" s="308"/>
      <c r="J24" s="308"/>
      <c r="K24" s="308"/>
      <c r="L24" s="308"/>
      <c r="M24" s="308"/>
      <c r="N24" s="308"/>
      <c r="O24" s="308"/>
      <c r="P24" s="308"/>
      <c r="Q24" s="308"/>
      <c r="R24" s="308"/>
      <c r="S24" s="308"/>
      <c r="T24" s="308"/>
      <c r="U24" s="308"/>
      <c r="V24" s="308"/>
      <c r="W24" s="308"/>
      <c r="X24" s="308"/>
      <c r="Y24" s="308"/>
      <c r="Z24" s="308"/>
      <c r="AA24" s="308"/>
      <c r="AB24" s="308"/>
      <c r="AC24" s="308"/>
      <c r="AD24" s="308"/>
      <c r="AE24" s="308"/>
      <c r="AF24" s="308"/>
      <c r="AG24" s="308"/>
      <c r="AH24" s="308"/>
      <c r="AI24" s="308"/>
      <c r="AJ24" s="308"/>
      <c r="AK24" s="308"/>
      <c r="AL24" s="308"/>
      <c r="AM24" s="308"/>
      <c r="AQ24" s="146"/>
      <c r="AR24" s="147"/>
    </row>
    <row r="25" spans="2:44" s="129" customFormat="1" ht="45" customHeight="1">
      <c r="C25" s="308" t="s">
        <v>107</v>
      </c>
      <c r="D25" s="308"/>
      <c r="E25" s="308"/>
      <c r="F25" s="308"/>
      <c r="G25" s="308"/>
      <c r="H25" s="308"/>
      <c r="I25" s="308"/>
      <c r="J25" s="308"/>
      <c r="K25" s="308"/>
      <c r="L25" s="308"/>
      <c r="M25" s="308"/>
      <c r="N25" s="308"/>
      <c r="O25" s="308"/>
      <c r="P25" s="308"/>
      <c r="Q25" s="308"/>
      <c r="R25" s="308"/>
      <c r="S25" s="308"/>
      <c r="T25" s="308"/>
      <c r="U25" s="308"/>
      <c r="V25" s="308"/>
      <c r="W25" s="308"/>
      <c r="X25" s="308"/>
      <c r="Y25" s="308"/>
      <c r="Z25" s="308"/>
      <c r="AA25" s="308"/>
      <c r="AB25" s="308"/>
      <c r="AC25" s="308"/>
      <c r="AD25" s="308"/>
      <c r="AE25" s="308"/>
      <c r="AF25" s="308"/>
      <c r="AG25" s="308"/>
      <c r="AH25" s="308"/>
      <c r="AI25" s="308"/>
      <c r="AJ25" s="308"/>
      <c r="AK25" s="308"/>
      <c r="AL25" s="308"/>
      <c r="AM25" s="308"/>
      <c r="AQ25" s="146"/>
      <c r="AR25" s="147"/>
    </row>
    <row r="26" spans="2:44" s="129" customFormat="1" ht="45" customHeight="1">
      <c r="C26" s="308"/>
      <c r="D26" s="308"/>
      <c r="E26" s="308"/>
      <c r="F26" s="308"/>
      <c r="G26" s="308"/>
      <c r="H26" s="308"/>
      <c r="I26" s="308"/>
      <c r="J26" s="308"/>
      <c r="K26" s="308"/>
      <c r="L26" s="308"/>
      <c r="M26" s="308"/>
      <c r="N26" s="308"/>
      <c r="O26" s="308"/>
      <c r="P26" s="308"/>
      <c r="Q26" s="308"/>
      <c r="R26" s="308"/>
      <c r="S26" s="308"/>
      <c r="T26" s="308"/>
      <c r="U26" s="308"/>
      <c r="V26" s="308"/>
      <c r="W26" s="308"/>
      <c r="X26" s="308"/>
      <c r="Y26" s="308"/>
      <c r="Z26" s="308"/>
      <c r="AA26" s="308"/>
      <c r="AB26" s="308"/>
      <c r="AC26" s="308"/>
      <c r="AD26" s="308"/>
      <c r="AE26" s="308"/>
      <c r="AF26" s="308"/>
      <c r="AG26" s="308"/>
      <c r="AH26" s="308"/>
      <c r="AI26" s="308"/>
      <c r="AJ26" s="308"/>
      <c r="AK26" s="308"/>
      <c r="AL26" s="308"/>
      <c r="AM26" s="308"/>
      <c r="AQ26" s="146"/>
      <c r="AR26" s="147"/>
    </row>
    <row r="27" spans="2:44" s="129" customFormat="1" ht="45" customHeight="1">
      <c r="C27" s="308" t="s">
        <v>108</v>
      </c>
      <c r="D27" s="308"/>
      <c r="E27" s="308"/>
      <c r="F27" s="308"/>
      <c r="G27" s="308"/>
      <c r="H27" s="308"/>
      <c r="I27" s="308"/>
      <c r="J27" s="308"/>
      <c r="K27" s="308"/>
      <c r="L27" s="308"/>
      <c r="M27" s="308"/>
      <c r="N27" s="308"/>
      <c r="O27" s="308"/>
      <c r="P27" s="308"/>
      <c r="Q27" s="308"/>
      <c r="R27" s="308"/>
      <c r="S27" s="308"/>
      <c r="T27" s="308"/>
      <c r="U27" s="308"/>
      <c r="V27" s="308"/>
      <c r="W27" s="308"/>
      <c r="X27" s="308"/>
      <c r="Y27" s="308"/>
      <c r="Z27" s="308"/>
      <c r="AA27" s="308"/>
      <c r="AB27" s="308"/>
      <c r="AC27" s="308"/>
      <c r="AD27" s="308"/>
      <c r="AE27" s="308"/>
      <c r="AF27" s="308"/>
      <c r="AG27" s="308"/>
      <c r="AH27" s="308"/>
      <c r="AI27" s="308"/>
      <c r="AJ27" s="308"/>
      <c r="AK27" s="308"/>
      <c r="AL27" s="308"/>
      <c r="AM27" s="308"/>
      <c r="AQ27" s="146"/>
      <c r="AR27" s="147"/>
    </row>
    <row r="28" spans="2:44" s="129" customFormat="1" ht="45" customHeight="1">
      <c r="C28" s="308"/>
      <c r="D28" s="308"/>
      <c r="E28" s="308"/>
      <c r="F28" s="308"/>
      <c r="G28" s="308"/>
      <c r="H28" s="308"/>
      <c r="I28" s="308"/>
      <c r="J28" s="308"/>
      <c r="K28" s="308"/>
      <c r="L28" s="308"/>
      <c r="M28" s="308"/>
      <c r="N28" s="308"/>
      <c r="O28" s="308"/>
      <c r="P28" s="308"/>
      <c r="Q28" s="308"/>
      <c r="R28" s="308"/>
      <c r="S28" s="308"/>
      <c r="T28" s="308"/>
      <c r="U28" s="308"/>
      <c r="V28" s="308"/>
      <c r="W28" s="308"/>
      <c r="X28" s="308"/>
      <c r="Y28" s="308"/>
      <c r="Z28" s="308"/>
      <c r="AA28" s="308"/>
      <c r="AB28" s="308"/>
      <c r="AC28" s="308"/>
      <c r="AD28" s="308"/>
      <c r="AE28" s="308"/>
      <c r="AF28" s="308"/>
      <c r="AG28" s="308"/>
      <c r="AH28" s="308"/>
      <c r="AI28" s="308"/>
      <c r="AJ28" s="308"/>
      <c r="AK28" s="308"/>
      <c r="AL28" s="308"/>
      <c r="AM28" s="308"/>
      <c r="AQ28" s="146"/>
      <c r="AR28" s="147"/>
    </row>
    <row r="29" spans="2:44" s="129" customFormat="1" ht="45" customHeight="1">
      <c r="C29" s="308" t="s">
        <v>109</v>
      </c>
      <c r="D29" s="308"/>
      <c r="E29" s="308"/>
      <c r="F29" s="308"/>
      <c r="G29" s="308"/>
      <c r="H29" s="308"/>
      <c r="I29" s="308"/>
      <c r="J29" s="308"/>
      <c r="K29" s="308"/>
      <c r="L29" s="308"/>
      <c r="M29" s="308"/>
      <c r="N29" s="308"/>
      <c r="O29" s="308"/>
      <c r="P29" s="308"/>
      <c r="Q29" s="308"/>
      <c r="R29" s="308"/>
      <c r="S29" s="308"/>
      <c r="T29" s="308"/>
      <c r="U29" s="308"/>
      <c r="V29" s="308"/>
      <c r="W29" s="308"/>
      <c r="X29" s="308"/>
      <c r="Y29" s="308"/>
      <c r="Z29" s="308"/>
      <c r="AA29" s="308"/>
      <c r="AB29" s="308"/>
      <c r="AC29" s="308"/>
      <c r="AD29" s="308"/>
      <c r="AE29" s="308"/>
      <c r="AF29" s="308"/>
      <c r="AG29" s="308"/>
      <c r="AH29" s="308"/>
      <c r="AI29" s="308"/>
      <c r="AJ29" s="308"/>
      <c r="AK29" s="308"/>
      <c r="AL29" s="308"/>
      <c r="AM29" s="308"/>
      <c r="AQ29" s="146"/>
      <c r="AR29" s="147"/>
    </row>
    <row r="30" spans="2:44" s="129" customFormat="1" ht="45" customHeight="1">
      <c r="C30" s="308"/>
      <c r="D30" s="308"/>
      <c r="E30" s="308"/>
      <c r="F30" s="308"/>
      <c r="G30" s="308"/>
      <c r="H30" s="308"/>
      <c r="I30" s="308"/>
      <c r="J30" s="308"/>
      <c r="K30" s="308"/>
      <c r="L30" s="308"/>
      <c r="M30" s="308"/>
      <c r="N30" s="308"/>
      <c r="O30" s="308"/>
      <c r="P30" s="308"/>
      <c r="Q30" s="308"/>
      <c r="R30" s="308"/>
      <c r="S30" s="308"/>
      <c r="T30" s="308"/>
      <c r="U30" s="308"/>
      <c r="V30" s="308"/>
      <c r="W30" s="308"/>
      <c r="X30" s="308"/>
      <c r="Y30" s="308"/>
      <c r="Z30" s="308"/>
      <c r="AA30" s="308"/>
      <c r="AB30" s="308"/>
      <c r="AC30" s="308"/>
      <c r="AD30" s="308"/>
      <c r="AE30" s="308"/>
      <c r="AF30" s="308"/>
      <c r="AG30" s="308"/>
      <c r="AH30" s="308"/>
      <c r="AI30" s="308"/>
      <c r="AJ30" s="308"/>
      <c r="AK30" s="308"/>
      <c r="AL30" s="308"/>
      <c r="AM30" s="308"/>
      <c r="AQ30" s="146"/>
      <c r="AR30" s="147"/>
    </row>
    <row r="31" spans="2:44" s="129" customFormat="1" ht="45" customHeight="1">
      <c r="C31" s="308" t="s">
        <v>110</v>
      </c>
      <c r="D31" s="308"/>
      <c r="E31" s="308"/>
      <c r="F31" s="308"/>
      <c r="G31" s="308"/>
      <c r="H31" s="308"/>
      <c r="I31" s="308"/>
      <c r="J31" s="308"/>
      <c r="K31" s="308"/>
      <c r="L31" s="308"/>
      <c r="M31" s="308"/>
      <c r="N31" s="308"/>
      <c r="O31" s="308"/>
      <c r="P31" s="308"/>
      <c r="Q31" s="308"/>
      <c r="R31" s="308"/>
      <c r="S31" s="308"/>
      <c r="T31" s="308"/>
      <c r="U31" s="308"/>
      <c r="V31" s="308"/>
      <c r="W31" s="308"/>
      <c r="X31" s="308"/>
      <c r="Y31" s="308"/>
      <c r="Z31" s="308"/>
      <c r="AA31" s="308"/>
      <c r="AB31" s="308"/>
      <c r="AC31" s="308"/>
      <c r="AD31" s="308"/>
      <c r="AE31" s="308"/>
      <c r="AF31" s="308"/>
      <c r="AG31" s="308"/>
      <c r="AH31" s="308"/>
      <c r="AI31" s="308"/>
      <c r="AJ31" s="308"/>
      <c r="AK31" s="308"/>
      <c r="AL31" s="308"/>
      <c r="AM31" s="308"/>
      <c r="AQ31" s="146"/>
      <c r="AR31" s="147"/>
    </row>
    <row r="32" spans="2:44" s="129" customFormat="1" ht="45" customHeight="1">
      <c r="C32" s="308"/>
      <c r="D32" s="308"/>
      <c r="E32" s="308"/>
      <c r="F32" s="308"/>
      <c r="G32" s="308"/>
      <c r="H32" s="308"/>
      <c r="I32" s="308"/>
      <c r="J32" s="308"/>
      <c r="K32" s="308"/>
      <c r="L32" s="308"/>
      <c r="M32" s="308"/>
      <c r="N32" s="308"/>
      <c r="O32" s="308"/>
      <c r="P32" s="308"/>
      <c r="Q32" s="308"/>
      <c r="R32" s="308"/>
      <c r="S32" s="308"/>
      <c r="T32" s="308"/>
      <c r="U32" s="308"/>
      <c r="V32" s="308"/>
      <c r="W32" s="308"/>
      <c r="X32" s="308"/>
      <c r="Y32" s="308"/>
      <c r="Z32" s="308"/>
      <c r="AA32" s="308"/>
      <c r="AB32" s="308"/>
      <c r="AC32" s="308"/>
      <c r="AD32" s="308"/>
      <c r="AE32" s="308"/>
      <c r="AF32" s="308"/>
      <c r="AG32" s="308"/>
      <c r="AH32" s="308"/>
      <c r="AI32" s="308"/>
      <c r="AJ32" s="308"/>
      <c r="AK32" s="308"/>
      <c r="AL32" s="308"/>
      <c r="AM32" s="308"/>
      <c r="AQ32" s="146"/>
      <c r="AR32" s="147"/>
    </row>
    <row r="33" spans="43:44" s="129" customFormat="1" ht="45" customHeight="1">
      <c r="AQ33" s="146"/>
      <c r="AR33" s="147"/>
    </row>
    <row r="34" spans="43:44" s="129" customFormat="1" ht="45" customHeight="1">
      <c r="AQ34" s="146"/>
      <c r="AR34" s="147"/>
    </row>
    <row r="35" spans="43:44" s="129" customFormat="1" ht="45" customHeight="1">
      <c r="AQ35" s="146"/>
      <c r="AR35" s="147"/>
    </row>
    <row r="36" spans="43:44" s="129" customFormat="1" ht="45" customHeight="1">
      <c r="AQ36" s="146"/>
      <c r="AR36" s="147"/>
    </row>
    <row r="37" spans="43:44" s="129" customFormat="1" ht="45" customHeight="1">
      <c r="AQ37" s="146"/>
      <c r="AR37" s="147"/>
    </row>
    <row r="38" spans="43:44" s="129" customFormat="1" ht="45" customHeight="1">
      <c r="AQ38" s="146"/>
      <c r="AR38" s="147"/>
    </row>
    <row r="39" spans="43:44" s="129" customFormat="1" ht="45" customHeight="1">
      <c r="AQ39" s="146"/>
      <c r="AR39" s="147"/>
    </row>
    <row r="40" spans="43:44" s="129" customFormat="1" ht="45" customHeight="1">
      <c r="AQ40" s="146"/>
      <c r="AR40" s="147"/>
    </row>
  </sheetData>
  <mergeCells count="18">
    <mergeCell ref="C29:AM30"/>
    <mergeCell ref="C31:AM32"/>
    <mergeCell ref="C19:AL20"/>
    <mergeCell ref="C21:AM22"/>
    <mergeCell ref="C23:AM24"/>
    <mergeCell ref="C25:AM26"/>
    <mergeCell ref="C27:AM28"/>
    <mergeCell ref="AP6:AQ7"/>
    <mergeCell ref="C6:AG6"/>
    <mergeCell ref="D4:F4"/>
    <mergeCell ref="L4:N4"/>
    <mergeCell ref="P4:R4"/>
    <mergeCell ref="H5:J5"/>
    <mergeCell ref="L5:N5"/>
    <mergeCell ref="P5:R5"/>
    <mergeCell ref="W5:AB5"/>
    <mergeCell ref="AC5:AH5"/>
    <mergeCell ref="T4:V5"/>
  </mergeCells>
  <conditionalFormatting sqref="C9:AG9 C10:I10 L10 N10:Q10 S10 U10:X10 Z10 AG10 L11:AG11 C11:J12 L12:Q12 S12:X12 Z12:AE12 AG12 C13:F13 H13:AG13 C14:Q14 S14:X14 Z14:AE14 AG14">
    <cfRule type="expression" priority="1" stopIfTrue="1">
      <formula>C9=""</formula>
    </cfRule>
    <cfRule type="expression" dxfId="919" priority="2" stopIfTrue="1">
      <formula>C9=KeyCustom2</formula>
    </cfRule>
    <cfRule type="expression" dxfId="918" priority="3" stopIfTrue="1">
      <formula>C9=KeyCustom1</formula>
    </cfRule>
    <cfRule type="expression" dxfId="917" priority="4" stopIfTrue="1">
      <formula>C9=KeySick</formula>
    </cfRule>
    <cfRule type="expression" dxfId="916" priority="5" stopIfTrue="1">
      <formula>C9=KeyPersonal</formula>
    </cfRule>
    <cfRule type="expression" dxfId="915" priority="6" stopIfTrue="1">
      <formula>C9=KeyVacation</formula>
    </cfRule>
  </conditionalFormatting>
  <conditionalFormatting sqref="AH9:AH15">
    <cfRule type="dataBar" priority="7">
      <dataBar>
        <cfvo type="min"/>
        <cfvo type="formula" val="DATEDIF(DATE(CalendarYear,2,1),DATE(CalendarYear,3,1),&quot;d&quot;)"/>
        <color theme="2" tint="-0.249977111117893"/>
      </dataBar>
      <extLst>
        <ext xmlns:x14="http://schemas.microsoft.com/office/spreadsheetml/2009/9/main" uri="{B025F937-C7B1-47D3-B67F-A62EFF666E3E}">
          <x14:id>{09900229-9536-43AB-AAE0-FC121BDECD61}</x14:id>
        </ext>
      </extLst>
    </cfRule>
  </conditionalFormatting>
  <dataValidations count="14">
    <dataValidation allowBlank="1" showInputMessage="1" showErrorMessage="1" prompt="Weekdays in this row are automatically updated for the month according to the year in AH4. Each day of the month is a column to note an employee's absence and absence type" sqref="C7"/>
    <dataValidation allowBlank="1" showInputMessage="1" showErrorMessage="1" prompt="Automatically updated year based on year entered in January worksheet" sqref="AH6"/>
    <dataValidation allowBlank="1" showInputMessage="1" showErrorMessage="1" prompt="Automatically calculates total number of days an employee was absent this month in this column" sqref="AH8"/>
    <dataValidation allowBlank="1" showInputMessage="1" showErrorMessage="1" prompt="Track August absence in this worksheet" sqref="A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dataValidation allowBlank="1" showInputMessage="1" showErrorMessage="1" prompt="Automatically updated title is in this cell. To modify the title, update B1 on January worksheet" sqref="B2"/>
    <dataValidation allowBlank="1" showInputMessage="1" showErrorMessage="1" prompt="The letter &quot;V&quot; indicates absence due to vacation" sqref="C4"/>
    <dataValidation allowBlank="1" showInputMessage="1" showErrorMessage="1" prompt="The letter &quot;P&quot; indicates absence due to personal reasons" sqref="G4"/>
    <dataValidation allowBlank="1" showInputMessage="1" showErrorMessage="1" prompt="The letter &quot;S&quot; indicates absence due to illness" sqref="K4 O4 S4 J10:K10 M10 G13 K11:K12 R10 R12 R14 AA10:AF10 Y10 Y12 Y14 T10 AF14 AF12"/>
    <dataValidation allowBlank="1" showInputMessage="1" showErrorMessage="1" prompt="Enter a label to describe the custom key at left" sqref="H4:J4"/>
    <dataValidation allowBlank="1" showInputMessage="1" showErrorMessage="1" prompt="Month name for this absence schedule is in this cell. Absence totals for this month are in last cell of the table. Select employee names in table column B" sqref="B2"/>
    <dataValidation allowBlank="1" showInputMessage="1" showErrorMessage="1" prompt="Days of the month in this row are automatically generated. Enter an employee's absence and absence type in each column for each day of the month. Blank means no absence" sqref="C8"/>
    <dataValidation allowBlank="1" showInputMessage="1" showErrorMessage="1" prompt="This row defines the keys used in the table: cell C4 is Vacation, G4 is Personal, &amp; K4 is Sick leave. Cells N4 &amp; R4 are customizable " sqref="B4"/>
    <dataValidation allowBlank="1" showInputMessage="1" showErrorMessage="1" prompt="Title of the worksheet is in this cell. " sqref="B1"/>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9900229-9536-43AB-AAE0-FC121BDECD61}">
            <x14:dataBar minLength="0" maxLength="100">
              <x14:cfvo type="autoMin"/>
              <x14:cfvo type="formula">
                <xm:f>DATEDIF(DATE(CalendarYear,2,1),DATE(CalendarYear,3,1),"d")</xm:f>
              </x14:cfvo>
              <x14:negativeFillColor rgb="FFFF0000"/>
              <x14:axisColor rgb="FF000000"/>
            </x14:dataBar>
          </x14:cfRule>
          <xm:sqref>AH9:AH15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names'!$C$5:$C$23</xm:f>
          </x14:formula1>
          <xm:sqref>B9:B15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B1:AT41"/>
  <sheetViews>
    <sheetView showGridLines="0" zoomScale="70" zoomScaleNormal="70" workbookViewId="0">
      <selection activeCell="AC10" sqref="AC10"/>
    </sheetView>
  </sheetViews>
  <sheetFormatPr defaultColWidth="8.77734375" defaultRowHeight="30" customHeight="1"/>
  <cols>
    <col min="1" max="1" width="2.6640625" customWidth="1"/>
    <col min="2" max="2" width="25.6640625" customWidth="1"/>
    <col min="3" max="33" width="4.21875" customWidth="1"/>
    <col min="34" max="34" width="13.44140625" customWidth="1"/>
    <col min="35" max="35" width="9.5546875" customWidth="1"/>
    <col min="36" max="36" width="1.6640625" customWidth="1"/>
    <col min="37" max="37" width="17" customWidth="1"/>
    <col min="38" max="38" width="14.44140625" customWidth="1"/>
    <col min="39" max="39" width="13" customWidth="1"/>
    <col min="40" max="41" width="12.109375" customWidth="1"/>
    <col min="42" max="42" width="13.109375" customWidth="1"/>
    <col min="43" max="43" width="12.88671875" style="57" bestFit="1" customWidth="1"/>
    <col min="44" max="44" width="19.6640625" style="57" customWidth="1"/>
  </cols>
  <sheetData>
    <row r="1" spans="2:44" ht="28.2" customHeight="1">
      <c r="B1" s="24" t="s">
        <v>53</v>
      </c>
    </row>
    <row r="2" spans="2:44" ht="39.6" customHeight="1">
      <c r="B2" s="130" t="s">
        <v>48</v>
      </c>
    </row>
    <row r="3" spans="2:44" ht="15" customHeight="1" thickBot="1">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row>
    <row r="4" spans="2:44" ht="13.8" customHeight="1">
      <c r="B4" s="7" t="s">
        <v>54</v>
      </c>
      <c r="C4" s="39" t="s">
        <v>32</v>
      </c>
      <c r="D4" s="293" t="s">
        <v>37</v>
      </c>
      <c r="E4" s="293"/>
      <c r="F4" s="294"/>
      <c r="G4" s="34" t="s">
        <v>74</v>
      </c>
      <c r="H4" s="40" t="s">
        <v>73</v>
      </c>
      <c r="I4" s="41"/>
      <c r="J4" s="42"/>
      <c r="K4" s="38" t="s">
        <v>31</v>
      </c>
      <c r="L4" s="297" t="s">
        <v>75</v>
      </c>
      <c r="M4" s="297"/>
      <c r="N4" s="298"/>
      <c r="O4" s="139"/>
      <c r="P4" s="299" t="s">
        <v>111</v>
      </c>
      <c r="Q4" s="300"/>
      <c r="R4" s="301"/>
      <c r="S4" s="140"/>
      <c r="T4" s="304" t="s">
        <v>112</v>
      </c>
      <c r="U4" s="304"/>
      <c r="V4" s="305"/>
      <c r="W4" s="72" t="s">
        <v>86</v>
      </c>
      <c r="X4" s="70"/>
      <c r="Y4" s="70"/>
      <c r="Z4" s="70"/>
      <c r="AA4" s="70"/>
      <c r="AB4" s="71"/>
      <c r="AC4" s="72" t="s">
        <v>88</v>
      </c>
      <c r="AD4" s="70"/>
      <c r="AE4" s="70"/>
      <c r="AF4" s="70"/>
      <c r="AG4" s="70"/>
      <c r="AH4" s="70"/>
      <c r="AI4" s="77" t="s">
        <v>89</v>
      </c>
    </row>
    <row r="5" spans="2:44" ht="15" customHeight="1" thickBot="1">
      <c r="B5" s="8"/>
      <c r="C5" s="35"/>
      <c r="D5" s="36"/>
      <c r="E5" s="36"/>
      <c r="F5" s="37"/>
      <c r="G5" s="35"/>
      <c r="H5" s="295"/>
      <c r="I5" s="295"/>
      <c r="J5" s="296"/>
      <c r="K5" s="35"/>
      <c r="L5" s="295"/>
      <c r="M5" s="295"/>
      <c r="N5" s="296"/>
      <c r="O5" s="35"/>
      <c r="P5" s="302"/>
      <c r="Q5" s="302"/>
      <c r="R5" s="303"/>
      <c r="S5" s="35"/>
      <c r="T5" s="306"/>
      <c r="U5" s="306"/>
      <c r="V5" s="307"/>
      <c r="W5" s="286">
        <f>1532175+1605075</f>
        <v>3137250</v>
      </c>
      <c r="X5" s="287"/>
      <c r="Y5" s="287"/>
      <c r="Z5" s="287"/>
      <c r="AA5" s="287"/>
      <c r="AB5" s="288"/>
      <c r="AC5" s="290">
        <f>W5/September[[#Totals],[Total days]]</f>
        <v>23948.473282442748</v>
      </c>
      <c r="AD5" s="291"/>
      <c r="AE5" s="291"/>
      <c r="AF5" s="291"/>
      <c r="AG5" s="291"/>
      <c r="AH5" s="291"/>
      <c r="AI5" s="78">
        <v>20000</v>
      </c>
    </row>
    <row r="6" spans="2:44" ht="29.4" customHeight="1">
      <c r="B6" s="6"/>
      <c r="C6" s="283" t="s">
        <v>55</v>
      </c>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6">
        <f ca="1">CalendarYear</f>
        <v>2026</v>
      </c>
      <c r="AP6" s="289"/>
      <c r="AQ6" s="289"/>
    </row>
    <row r="7" spans="2:44" ht="18" customHeight="1">
      <c r="B7" s="6"/>
      <c r="C7" s="21" t="str">
        <f ca="1">TEXT(WEEKDAY(DATE(CalendarYear,9,1),1),"aaa")</f>
        <v>Tue</v>
      </c>
      <c r="D7" s="21" t="str">
        <f ca="1">TEXT(WEEKDAY(DATE(CalendarYear,9,2),1),"aaa")</f>
        <v>Wed</v>
      </c>
      <c r="E7" s="21" t="str">
        <f ca="1">TEXT(WEEKDAY(DATE(CalendarYear,9,3),1),"aaa")</f>
        <v>Thu</v>
      </c>
      <c r="F7" s="21" t="str">
        <f ca="1">TEXT(WEEKDAY(DATE(CalendarYear,9,4),1),"aaa")</f>
        <v>Fri</v>
      </c>
      <c r="G7" s="21" t="str">
        <f ca="1">TEXT(WEEKDAY(DATE(CalendarYear,9,5),1),"aaa")</f>
        <v>Sat</v>
      </c>
      <c r="H7" s="21" t="str">
        <f ca="1">TEXT(WEEKDAY(DATE(CalendarYear,9,6),1),"aaa")</f>
        <v>Sun</v>
      </c>
      <c r="I7" s="21" t="str">
        <f ca="1">TEXT(WEEKDAY(DATE(CalendarYear,9,7),1),"aaa")</f>
        <v>Mon</v>
      </c>
      <c r="J7" s="21" t="str">
        <f ca="1">TEXT(WEEKDAY(DATE(CalendarYear,9,8),1),"aaa")</f>
        <v>Tue</v>
      </c>
      <c r="K7" s="21" t="str">
        <f ca="1">TEXT(WEEKDAY(DATE(CalendarYear,9,9),1),"aaa")</f>
        <v>Wed</v>
      </c>
      <c r="L7" s="21" t="str">
        <f ca="1">TEXT(WEEKDAY(DATE(CalendarYear,9,10),1),"aaa")</f>
        <v>Thu</v>
      </c>
      <c r="M7" s="21" t="str">
        <f ca="1">TEXT(WEEKDAY(DATE(CalendarYear,9,11),1),"aaa")</f>
        <v>Fri</v>
      </c>
      <c r="N7" s="21" t="str">
        <f ca="1">TEXT(WEEKDAY(DATE(CalendarYear,9,12),1),"aaa")</f>
        <v>Sat</v>
      </c>
      <c r="O7" s="21" t="str">
        <f ca="1">TEXT(WEEKDAY(DATE(CalendarYear,9,13),1),"aaa")</f>
        <v>Sun</v>
      </c>
      <c r="P7" s="21" t="str">
        <f ca="1">TEXT(WEEKDAY(DATE(CalendarYear,9,14),1),"aaa")</f>
        <v>Mon</v>
      </c>
      <c r="Q7" s="21" t="str">
        <f ca="1">TEXT(WEEKDAY(DATE(CalendarYear,9,15),1),"aaa")</f>
        <v>Tue</v>
      </c>
      <c r="R7" s="21" t="str">
        <f ca="1">TEXT(WEEKDAY(DATE(CalendarYear,9,16),1),"aaa")</f>
        <v>Wed</v>
      </c>
      <c r="S7" s="21" t="str">
        <f ca="1">TEXT(WEEKDAY(DATE(CalendarYear,9,17),1),"aaa")</f>
        <v>Thu</v>
      </c>
      <c r="T7" s="21" t="str">
        <f ca="1">TEXT(WEEKDAY(DATE(CalendarYear,9,18),1),"aaa")</f>
        <v>Fri</v>
      </c>
      <c r="U7" s="21" t="str">
        <f ca="1">TEXT(WEEKDAY(DATE(CalendarYear,9,19),1),"aaa")</f>
        <v>Sat</v>
      </c>
      <c r="V7" s="21" t="str">
        <f ca="1">TEXT(WEEKDAY(DATE(CalendarYear,9,20),1),"aaa")</f>
        <v>Sun</v>
      </c>
      <c r="W7" s="21" t="str">
        <f ca="1">TEXT(WEEKDAY(DATE(CalendarYear,9,21),1),"aaa")</f>
        <v>Mon</v>
      </c>
      <c r="X7" s="21" t="str">
        <f ca="1">TEXT(WEEKDAY(DATE(CalendarYear,9,22),1),"aaa")</f>
        <v>Tue</v>
      </c>
      <c r="Y7" s="21" t="str">
        <f ca="1">TEXT(WEEKDAY(DATE(CalendarYear,9,23),1),"aaa")</f>
        <v>Wed</v>
      </c>
      <c r="Z7" s="21" t="str">
        <f ca="1">TEXT(WEEKDAY(DATE(CalendarYear,9,24),1),"aaa")</f>
        <v>Thu</v>
      </c>
      <c r="AA7" s="21" t="str">
        <f ca="1">TEXT(WEEKDAY(DATE(CalendarYear,9,25),1),"aaa")</f>
        <v>Fri</v>
      </c>
      <c r="AB7" s="21" t="str">
        <f ca="1">TEXT(WEEKDAY(DATE(CalendarYear,9,26),1),"aaa")</f>
        <v>Sat</v>
      </c>
      <c r="AC7" s="21" t="str">
        <f ca="1">TEXT(WEEKDAY(DATE(CalendarYear,9,27),1),"aaa")</f>
        <v>Sun</v>
      </c>
      <c r="AD7" s="21" t="str">
        <f ca="1">TEXT(WEEKDAY(DATE(CalendarYear,9,28),1),"aaa")</f>
        <v>Mon</v>
      </c>
      <c r="AE7" s="21" t="str">
        <f ca="1">TEXT(WEEKDAY(DATE(CalendarYear,9,29),1),"aaa")</f>
        <v>Tue</v>
      </c>
      <c r="AF7" s="21" t="str">
        <f ca="1">TEXT(WEEKDAY(DATE(CalendarYear,9,30),1),"aaa")</f>
        <v>Wed</v>
      </c>
      <c r="AG7" s="21"/>
      <c r="AH7" s="6"/>
      <c r="AP7" s="289"/>
      <c r="AQ7" s="289"/>
    </row>
    <row r="8" spans="2:44" ht="16.8" customHeight="1">
      <c r="B8" s="20" t="s">
        <v>61</v>
      </c>
      <c r="C8" s="1" t="s">
        <v>0</v>
      </c>
      <c r="D8" s="1" t="s">
        <v>1</v>
      </c>
      <c r="E8" s="1" t="s">
        <v>2</v>
      </c>
      <c r="F8" s="1" t="s">
        <v>3</v>
      </c>
      <c r="G8" s="1" t="s">
        <v>4</v>
      </c>
      <c r="H8" s="1" t="s">
        <v>5</v>
      </c>
      <c r="I8" s="86" t="s">
        <v>6</v>
      </c>
      <c r="J8" s="1" t="s">
        <v>7</v>
      </c>
      <c r="K8" s="1" t="s">
        <v>8</v>
      </c>
      <c r="L8" s="1" t="s">
        <v>9</v>
      </c>
      <c r="M8" s="1" t="s">
        <v>10</v>
      </c>
      <c r="N8" s="1" t="s">
        <v>11</v>
      </c>
      <c r="O8" s="1" t="s">
        <v>12</v>
      </c>
      <c r="P8" s="86" t="s">
        <v>13</v>
      </c>
      <c r="Q8" s="1" t="s">
        <v>14</v>
      </c>
      <c r="R8" s="1" t="s">
        <v>15</v>
      </c>
      <c r="S8" s="1" t="s">
        <v>16</v>
      </c>
      <c r="T8" s="1" t="s">
        <v>17</v>
      </c>
      <c r="U8" s="1" t="s">
        <v>18</v>
      </c>
      <c r="V8" s="1" t="s">
        <v>19</v>
      </c>
      <c r="W8" s="86" t="s">
        <v>20</v>
      </c>
      <c r="X8" s="1" t="s">
        <v>21</v>
      </c>
      <c r="Y8" s="1" t="s">
        <v>22</v>
      </c>
      <c r="Z8" s="1" t="s">
        <v>23</v>
      </c>
      <c r="AA8" s="1" t="s">
        <v>24</v>
      </c>
      <c r="AB8" s="1" t="s">
        <v>25</v>
      </c>
      <c r="AC8" s="1" t="s">
        <v>26</v>
      </c>
      <c r="AD8" s="86" t="s">
        <v>27</v>
      </c>
      <c r="AE8" s="1" t="s">
        <v>28</v>
      </c>
      <c r="AF8" s="1" t="s">
        <v>29</v>
      </c>
      <c r="AG8" s="1" t="s">
        <v>33</v>
      </c>
      <c r="AH8" s="22" t="s">
        <v>62</v>
      </c>
      <c r="AK8" s="75" t="s">
        <v>87</v>
      </c>
      <c r="AL8" s="53" t="s">
        <v>76</v>
      </c>
      <c r="AM8" s="54" t="s">
        <v>77</v>
      </c>
      <c r="AN8" s="54" t="s">
        <v>78</v>
      </c>
      <c r="AO8" s="126" t="s">
        <v>99</v>
      </c>
      <c r="AP8" s="73" t="s">
        <v>85</v>
      </c>
    </row>
    <row r="9" spans="2:44" ht="16.8" customHeight="1">
      <c r="B9" s="2" t="s">
        <v>71</v>
      </c>
      <c r="C9" s="1" t="s">
        <v>72</v>
      </c>
      <c r="D9" s="1" t="s">
        <v>72</v>
      </c>
      <c r="E9" s="1" t="s">
        <v>72</v>
      </c>
      <c r="F9" s="1" t="s">
        <v>72</v>
      </c>
      <c r="G9" s="1" t="s">
        <v>72</v>
      </c>
      <c r="H9" s="142"/>
      <c r="I9" s="86"/>
      <c r="J9" s="1" t="s">
        <v>72</v>
      </c>
      <c r="K9" s="1" t="s">
        <v>72</v>
      </c>
      <c r="L9" s="1" t="s">
        <v>72</v>
      </c>
      <c r="M9" s="1" t="s">
        <v>72</v>
      </c>
      <c r="N9" s="1" t="s">
        <v>72</v>
      </c>
      <c r="O9" s="1" t="s">
        <v>72</v>
      </c>
      <c r="P9" s="86"/>
      <c r="Q9" s="1" t="s">
        <v>72</v>
      </c>
      <c r="R9" s="1" t="s">
        <v>72</v>
      </c>
      <c r="S9" s="1" t="s">
        <v>72</v>
      </c>
      <c r="T9" s="1" t="s">
        <v>72</v>
      </c>
      <c r="U9" s="1" t="s">
        <v>72</v>
      </c>
      <c r="V9" s="1" t="s">
        <v>72</v>
      </c>
      <c r="W9" s="86"/>
      <c r="X9" s="1" t="s">
        <v>72</v>
      </c>
      <c r="Y9" s="1" t="s">
        <v>72</v>
      </c>
      <c r="Z9" s="1" t="s">
        <v>72</v>
      </c>
      <c r="AA9" s="1" t="s">
        <v>72</v>
      </c>
      <c r="AB9" s="1" t="s">
        <v>72</v>
      </c>
      <c r="AC9" s="142"/>
      <c r="AD9" s="86"/>
      <c r="AE9" s="1" t="s">
        <v>72</v>
      </c>
      <c r="AF9" s="1" t="s">
        <v>72</v>
      </c>
      <c r="AG9" s="1"/>
      <c r="AH9" s="3">
        <f>COUNTA(September[[#This Row],[1]:[ ]])</f>
        <v>24</v>
      </c>
      <c r="AK9" s="76"/>
      <c r="AL9" s="76"/>
      <c r="AM9" s="76"/>
      <c r="AN9" s="76"/>
      <c r="AO9" s="76"/>
      <c r="AP9" s="76">
        <f>AC5*September[[#This Row],[Total days]]</f>
        <v>574763.35877862596</v>
      </c>
    </row>
    <row r="10" spans="2:44" ht="16.8" customHeight="1">
      <c r="B10" s="2" t="s">
        <v>65</v>
      </c>
      <c r="C10" s="1" t="s">
        <v>72</v>
      </c>
      <c r="D10" s="142"/>
      <c r="E10" s="1" t="s">
        <v>72</v>
      </c>
      <c r="F10" s="1" t="s">
        <v>72</v>
      </c>
      <c r="G10" s="142"/>
      <c r="H10" s="142"/>
      <c r="I10" s="86"/>
      <c r="J10" s="1" t="s">
        <v>72</v>
      </c>
      <c r="K10" s="1" t="s">
        <v>72</v>
      </c>
      <c r="L10" s="1" t="s">
        <v>72</v>
      </c>
      <c r="M10" s="1" t="s">
        <v>72</v>
      </c>
      <c r="N10" s="142"/>
      <c r="O10" s="1" t="s">
        <v>72</v>
      </c>
      <c r="P10" s="86"/>
      <c r="Q10" s="1" t="s">
        <v>72</v>
      </c>
      <c r="R10" s="1" t="s">
        <v>72</v>
      </c>
      <c r="S10" s="1" t="s">
        <v>72</v>
      </c>
      <c r="T10" s="1" t="s">
        <v>72</v>
      </c>
      <c r="U10" s="1" t="s">
        <v>72</v>
      </c>
      <c r="V10" s="1" t="s">
        <v>72</v>
      </c>
      <c r="W10" s="86"/>
      <c r="X10" s="1" t="s">
        <v>72</v>
      </c>
      <c r="Y10" s="1" t="s">
        <v>72</v>
      </c>
      <c r="Z10" s="1" t="s">
        <v>72</v>
      </c>
      <c r="AA10" s="1" t="s">
        <v>72</v>
      </c>
      <c r="AB10" s="1" t="s">
        <v>72</v>
      </c>
      <c r="AC10" s="142"/>
      <c r="AD10" s="86"/>
      <c r="AE10" s="1" t="s">
        <v>72</v>
      </c>
      <c r="AF10" s="1" t="s">
        <v>72</v>
      </c>
      <c r="AG10" s="1"/>
      <c r="AH10" s="3">
        <f>COUNTA(September[[#This Row],[1]:[ ]])</f>
        <v>21</v>
      </c>
      <c r="AK10" s="76">
        <f>SUM(AL10:AP10)</f>
        <v>6312917.9389312975</v>
      </c>
      <c r="AL10" s="76">
        <v>5500000</v>
      </c>
      <c r="AM10" s="76">
        <f>$AI$5*August[[#This Row],[Total days]]</f>
        <v>260000</v>
      </c>
      <c r="AN10" s="76">
        <v>50000</v>
      </c>
      <c r="AO10" s="76"/>
      <c r="AP10" s="76">
        <f>September[[#This Row],[Total days]]*AC5</f>
        <v>502917.93893129774</v>
      </c>
      <c r="AQ10" s="57">
        <f>2000000-1646000</f>
        <v>354000</v>
      </c>
      <c r="AR10" s="57" t="s">
        <v>114</v>
      </c>
    </row>
    <row r="11" spans="2:44" ht="16.8" customHeight="1">
      <c r="B11" s="2" t="s">
        <v>68</v>
      </c>
      <c r="C11" s="1" t="s">
        <v>72</v>
      </c>
      <c r="D11" s="1" t="s">
        <v>72</v>
      </c>
      <c r="E11" s="1" t="s">
        <v>72</v>
      </c>
      <c r="F11" s="1" t="s">
        <v>72</v>
      </c>
      <c r="G11" s="1" t="s">
        <v>72</v>
      </c>
      <c r="H11" s="142"/>
      <c r="I11" s="86"/>
      <c r="J11" s="1" t="s">
        <v>72</v>
      </c>
      <c r="K11" s="1" t="s">
        <v>72</v>
      </c>
      <c r="L11" s="1" t="s">
        <v>72</v>
      </c>
      <c r="M11" s="1" t="s">
        <v>72</v>
      </c>
      <c r="N11" s="1" t="s">
        <v>72</v>
      </c>
      <c r="O11" s="1" t="s">
        <v>72</v>
      </c>
      <c r="P11" s="86"/>
      <c r="Q11" s="1" t="s">
        <v>72</v>
      </c>
      <c r="R11" s="1" t="s">
        <v>72</v>
      </c>
      <c r="S11" s="1" t="s">
        <v>72</v>
      </c>
      <c r="T11" s="1" t="s">
        <v>72</v>
      </c>
      <c r="U11" s="1" t="s">
        <v>72</v>
      </c>
      <c r="V11" s="1" t="s">
        <v>72</v>
      </c>
      <c r="W11" s="86"/>
      <c r="X11" s="1" t="s">
        <v>72</v>
      </c>
      <c r="Y11" s="1" t="s">
        <v>72</v>
      </c>
      <c r="Z11" s="1" t="s">
        <v>72</v>
      </c>
      <c r="AA11" s="1" t="s">
        <v>72</v>
      </c>
      <c r="AB11" s="1" t="s">
        <v>72</v>
      </c>
      <c r="AC11" s="1" t="s">
        <v>72</v>
      </c>
      <c r="AD11" s="86"/>
      <c r="AE11" s="1" t="s">
        <v>72</v>
      </c>
      <c r="AF11" s="1" t="s">
        <v>72</v>
      </c>
      <c r="AG11" s="1"/>
      <c r="AH11" s="3">
        <f>COUNTA(September[[#This Row],[1]:[ ]])</f>
        <v>25</v>
      </c>
      <c r="AK11" s="76">
        <f t="shared" ref="AK11:AK14" si="0">SUM(AL11:AP11)</f>
        <v>6128711.8320610691</v>
      </c>
      <c r="AL11" s="76">
        <v>5000000</v>
      </c>
      <c r="AM11" s="76">
        <f>$AI$5*August[[#This Row],[Total days]]</f>
        <v>480000</v>
      </c>
      <c r="AN11" s="76">
        <v>50000</v>
      </c>
      <c r="AO11" s="76"/>
      <c r="AP11" s="76">
        <f>AC5*September[[#This Row],[Total days]]</f>
        <v>598711.83206106874</v>
      </c>
    </row>
    <row r="12" spans="2:44" ht="16.8" customHeight="1">
      <c r="B12" s="2" t="s">
        <v>66</v>
      </c>
      <c r="C12" s="1" t="s">
        <v>72</v>
      </c>
      <c r="D12" s="1" t="s">
        <v>72</v>
      </c>
      <c r="E12" s="1" t="s">
        <v>72</v>
      </c>
      <c r="F12" s="1" t="s">
        <v>72</v>
      </c>
      <c r="G12" s="142"/>
      <c r="H12" s="142"/>
      <c r="I12" s="86"/>
      <c r="J12" s="1" t="s">
        <v>72</v>
      </c>
      <c r="K12" s="1" t="s">
        <v>72</v>
      </c>
      <c r="L12" s="1" t="s">
        <v>72</v>
      </c>
      <c r="M12" s="142"/>
      <c r="N12" s="142"/>
      <c r="O12" s="142"/>
      <c r="P12" s="86"/>
      <c r="Q12" s="1" t="s">
        <v>72</v>
      </c>
      <c r="R12" s="1" t="s">
        <v>72</v>
      </c>
      <c r="S12" s="1" t="s">
        <v>72</v>
      </c>
      <c r="T12" s="1" t="s">
        <v>72</v>
      </c>
      <c r="U12" s="1" t="s">
        <v>72</v>
      </c>
      <c r="V12" s="1" t="s">
        <v>72</v>
      </c>
      <c r="W12" s="86"/>
      <c r="X12" s="1" t="s">
        <v>72</v>
      </c>
      <c r="Y12" s="1" t="s">
        <v>72</v>
      </c>
      <c r="Z12" s="1" t="s">
        <v>72</v>
      </c>
      <c r="AA12" s="1" t="s">
        <v>72</v>
      </c>
      <c r="AB12" s="1" t="s">
        <v>72</v>
      </c>
      <c r="AC12" s="142"/>
      <c r="AD12" s="86"/>
      <c r="AE12" s="1" t="s">
        <v>72</v>
      </c>
      <c r="AF12" s="1" t="s">
        <v>72</v>
      </c>
      <c r="AG12" s="1"/>
      <c r="AH12" s="3">
        <f>COUNTA(September[[#This Row],[1]:[ ]])</f>
        <v>20</v>
      </c>
      <c r="AK12" s="76">
        <f t="shared" si="0"/>
        <v>5068969.4656488551</v>
      </c>
      <c r="AL12" s="76">
        <v>4100000</v>
      </c>
      <c r="AM12" s="76">
        <f>$AI$5*August[[#This Row],[Total days]]</f>
        <v>440000</v>
      </c>
      <c r="AN12" s="76">
        <v>50000</v>
      </c>
      <c r="AO12" s="76"/>
      <c r="AP12" s="76">
        <f>AC5*September[[#This Row],[Total days]]</f>
        <v>478969.46564885497</v>
      </c>
    </row>
    <row r="13" spans="2:44" ht="16.2" customHeight="1">
      <c r="B13" s="2" t="s">
        <v>94</v>
      </c>
      <c r="C13" s="1" t="s">
        <v>72</v>
      </c>
      <c r="D13" s="1" t="s">
        <v>72</v>
      </c>
      <c r="E13" s="1" t="s">
        <v>72</v>
      </c>
      <c r="F13" s="1" t="s">
        <v>72</v>
      </c>
      <c r="G13" s="1" t="s">
        <v>72</v>
      </c>
      <c r="H13" s="142"/>
      <c r="I13" s="86"/>
      <c r="J13" s="1" t="s">
        <v>72</v>
      </c>
      <c r="K13" s="1" t="s">
        <v>72</v>
      </c>
      <c r="L13" s="1" t="s">
        <v>72</v>
      </c>
      <c r="M13" s="142"/>
      <c r="N13" s="1" t="s">
        <v>72</v>
      </c>
      <c r="O13" s="142"/>
      <c r="P13" s="86"/>
      <c r="Q13" s="1" t="s">
        <v>72</v>
      </c>
      <c r="R13" s="1" t="s">
        <v>72</v>
      </c>
      <c r="S13" s="1" t="s">
        <v>72</v>
      </c>
      <c r="T13" s="1" t="s">
        <v>72</v>
      </c>
      <c r="U13" s="1" t="s">
        <v>72</v>
      </c>
      <c r="V13" s="1" t="s">
        <v>72</v>
      </c>
      <c r="W13" s="86"/>
      <c r="X13" s="1" t="s">
        <v>72</v>
      </c>
      <c r="Y13" s="1" t="s">
        <v>72</v>
      </c>
      <c r="Z13" s="1" t="s">
        <v>72</v>
      </c>
      <c r="AA13" s="1" t="s">
        <v>72</v>
      </c>
      <c r="AB13" s="1" t="s">
        <v>72</v>
      </c>
      <c r="AC13" s="142"/>
      <c r="AD13" s="86"/>
      <c r="AE13" s="1" t="s">
        <v>72</v>
      </c>
      <c r="AF13" s="1" t="s">
        <v>72</v>
      </c>
      <c r="AG13" s="1"/>
      <c r="AH13" s="3">
        <f>COUNTA(September[[#This Row],[1]:[ ]])</f>
        <v>22</v>
      </c>
      <c r="AK13" s="76">
        <f t="shared" si="0"/>
        <v>5276866.4122137409</v>
      </c>
      <c r="AL13" s="76">
        <v>4200000</v>
      </c>
      <c r="AM13" s="76">
        <f>$AI$5*August[[#This Row],[Total days]]</f>
        <v>500000</v>
      </c>
      <c r="AN13" s="76">
        <v>50000</v>
      </c>
      <c r="AO13" s="76"/>
      <c r="AP13" s="76">
        <f>AC5*September[[#This Row],[Total days]]</f>
        <v>526866.4122137404</v>
      </c>
      <c r="AQ13" s="57">
        <v>326000</v>
      </c>
      <c r="AR13" s="57" t="s">
        <v>114</v>
      </c>
    </row>
    <row r="14" spans="2:44" ht="16.8" customHeight="1">
      <c r="B14" s="31" t="s">
        <v>69</v>
      </c>
      <c r="C14" s="142"/>
      <c r="D14" s="1" t="s">
        <v>72</v>
      </c>
      <c r="E14" s="142"/>
      <c r="F14" s="142"/>
      <c r="G14" s="1" t="s">
        <v>72</v>
      </c>
      <c r="H14" s="142"/>
      <c r="I14" s="86"/>
      <c r="J14" s="142"/>
      <c r="K14" s="1" t="s">
        <v>72</v>
      </c>
      <c r="L14" s="1" t="s">
        <v>72</v>
      </c>
      <c r="M14" s="1" t="s">
        <v>72</v>
      </c>
      <c r="N14" s="1" t="s">
        <v>72</v>
      </c>
      <c r="O14" s="142"/>
      <c r="P14" s="86"/>
      <c r="Q14" s="142"/>
      <c r="R14" s="1" t="s">
        <v>72</v>
      </c>
      <c r="S14" s="1" t="s">
        <v>72</v>
      </c>
      <c r="T14" s="1" t="s">
        <v>72</v>
      </c>
      <c r="U14" s="1" t="s">
        <v>72</v>
      </c>
      <c r="V14" s="1" t="s">
        <v>72</v>
      </c>
      <c r="W14" s="86"/>
      <c r="X14" s="1" t="s">
        <v>72</v>
      </c>
      <c r="Y14" s="1" t="s">
        <v>72</v>
      </c>
      <c r="Z14" s="1" t="s">
        <v>72</v>
      </c>
      <c r="AA14" s="1" t="s">
        <v>72</v>
      </c>
      <c r="AB14" s="1" t="s">
        <v>72</v>
      </c>
      <c r="AC14" s="1" t="s">
        <v>72</v>
      </c>
      <c r="AD14" s="86"/>
      <c r="AE14" s="1" t="s">
        <v>72</v>
      </c>
      <c r="AF14" s="1" t="s">
        <v>72</v>
      </c>
      <c r="AG14" s="32"/>
      <c r="AH14" s="3">
        <f>COUNTA(September[[#This Row],[1]:[ ]])</f>
        <v>19</v>
      </c>
      <c r="AK14" s="76">
        <f t="shared" si="0"/>
        <v>5465020.9923664127</v>
      </c>
      <c r="AL14" s="76">
        <v>4500000</v>
      </c>
      <c r="AM14" s="76">
        <f>$AI$5*August[[#This Row],[Total days]]</f>
        <v>460000</v>
      </c>
      <c r="AN14" s="76">
        <v>50000</v>
      </c>
      <c r="AO14" s="76"/>
      <c r="AP14" s="76">
        <f>September[[#This Row],[Total days]]*AC5</f>
        <v>455020.99236641219</v>
      </c>
      <c r="AQ14" s="57">
        <v>1000000</v>
      </c>
      <c r="AR14" s="57" t="s">
        <v>113</v>
      </c>
    </row>
    <row r="15" spans="2:44" ht="15" customHeight="1">
      <c r="B15" s="31"/>
      <c r="C15" s="1"/>
      <c r="D15" s="1"/>
      <c r="E15" s="1"/>
      <c r="F15" s="1"/>
      <c r="G15" s="1"/>
      <c r="H15" s="1"/>
      <c r="I15" s="86"/>
      <c r="J15" s="1"/>
      <c r="K15" s="1"/>
      <c r="L15" s="1"/>
      <c r="M15" s="1"/>
      <c r="N15" s="1"/>
      <c r="O15" s="1"/>
      <c r="P15" s="86"/>
      <c r="Q15" s="1"/>
      <c r="R15" s="1"/>
      <c r="S15" s="1"/>
      <c r="T15" s="1"/>
      <c r="U15" s="1"/>
      <c r="V15" s="1"/>
      <c r="W15" s="86"/>
      <c r="X15" s="1"/>
      <c r="Y15" s="1"/>
      <c r="Z15" s="1"/>
      <c r="AA15" s="1"/>
      <c r="AB15" s="1"/>
      <c r="AC15" s="1"/>
      <c r="AD15" s="86"/>
      <c r="AE15" s="1"/>
      <c r="AF15" s="1"/>
      <c r="AG15" s="32"/>
      <c r="AH15" s="3">
        <f>COUNTA(September[[#This Row],[1]:[ ]])</f>
        <v>0</v>
      </c>
      <c r="AK15" s="76"/>
      <c r="AL15" s="76"/>
      <c r="AM15" s="76"/>
      <c r="AN15" s="76"/>
      <c r="AO15" s="76"/>
      <c r="AP15" s="76"/>
    </row>
    <row r="16" spans="2:44" ht="16.8" customHeight="1">
      <c r="B16" s="5" t="str">
        <f>MonthName&amp;" Total"</f>
        <v>September Total</v>
      </c>
      <c r="C16" s="4">
        <f>SUBTOTAL(103,September[1])</f>
        <v>5</v>
      </c>
      <c r="D16" s="4">
        <f>SUBTOTAL(103,September[2])</f>
        <v>5</v>
      </c>
      <c r="E16" s="4">
        <f>SUBTOTAL(103,September[3])</f>
        <v>5</v>
      </c>
      <c r="F16" s="4">
        <f>SUBTOTAL(103,September[4])</f>
        <v>5</v>
      </c>
      <c r="G16" s="4">
        <f>SUBTOTAL(103,September[5])</f>
        <v>4</v>
      </c>
      <c r="H16" s="4">
        <f>SUBTOTAL(103,September[6])</f>
        <v>0</v>
      </c>
      <c r="I16" s="111">
        <f>SUBTOTAL(103,September[7])</f>
        <v>0</v>
      </c>
      <c r="J16" s="4">
        <f>SUBTOTAL(103,September[8])</f>
        <v>5</v>
      </c>
      <c r="K16" s="4">
        <f>SUBTOTAL(103,September[9])</f>
        <v>6</v>
      </c>
      <c r="L16" s="4">
        <f>SUBTOTAL(103,September[10])</f>
        <v>6</v>
      </c>
      <c r="M16" s="4">
        <f>SUBTOTAL(103,September[11])</f>
        <v>4</v>
      </c>
      <c r="N16" s="4">
        <f>SUBTOTAL(103,September[12])</f>
        <v>4</v>
      </c>
      <c r="O16" s="4">
        <f>SUBTOTAL(103,September[13])</f>
        <v>3</v>
      </c>
      <c r="P16" s="111">
        <f>SUBTOTAL(103,September[14])</f>
        <v>0</v>
      </c>
      <c r="Q16" s="4">
        <f>SUBTOTAL(103,September[15])</f>
        <v>5</v>
      </c>
      <c r="R16" s="4">
        <f>SUBTOTAL(103,September[16])</f>
        <v>6</v>
      </c>
      <c r="S16" s="4">
        <f>SUBTOTAL(103,September[17])</f>
        <v>6</v>
      </c>
      <c r="T16" s="4">
        <f>SUBTOTAL(103,September[18])</f>
        <v>6</v>
      </c>
      <c r="U16" s="4">
        <f>SUBTOTAL(103,September[19])</f>
        <v>6</v>
      </c>
      <c r="V16" s="4">
        <f>SUBTOTAL(103,September[20])</f>
        <v>6</v>
      </c>
      <c r="W16" s="111">
        <f>SUBTOTAL(103,September[21])</f>
        <v>0</v>
      </c>
      <c r="X16" s="4">
        <f>SUBTOTAL(103,September[22])</f>
        <v>6</v>
      </c>
      <c r="Y16" s="4">
        <f>SUBTOTAL(103,September[23])</f>
        <v>6</v>
      </c>
      <c r="Z16" s="4">
        <f>SUBTOTAL(103,September[24])</f>
        <v>6</v>
      </c>
      <c r="AA16" s="4">
        <f>SUBTOTAL(103,September[25])</f>
        <v>6</v>
      </c>
      <c r="AB16" s="4">
        <f>SUBTOTAL(103,September[26])</f>
        <v>6</v>
      </c>
      <c r="AC16" s="4">
        <f>SUBTOTAL(103,September[27])</f>
        <v>2</v>
      </c>
      <c r="AD16" s="111">
        <f>SUBTOTAL(103,September[28])</f>
        <v>0</v>
      </c>
      <c r="AE16" s="4">
        <f>SUBTOTAL(103,September[29])</f>
        <v>6</v>
      </c>
      <c r="AF16" s="4">
        <f>SUBTOTAL(109,September[30])</f>
        <v>0</v>
      </c>
      <c r="AG16" s="4">
        <f>SUBTOTAL(109,September[[ ]])</f>
        <v>0</v>
      </c>
      <c r="AH16" s="4">
        <f>SUBTOTAL(109,September[Total days])</f>
        <v>131</v>
      </c>
      <c r="AK16" s="79">
        <f>SUM(AK9:AK14)</f>
        <v>28252486.641221374</v>
      </c>
      <c r="AL16" s="79">
        <f t="shared" ref="AL16:AP16" si="1">SUM(AL9:AL14)</f>
        <v>23300000</v>
      </c>
      <c r="AM16" s="79">
        <f t="shared" si="1"/>
        <v>2140000</v>
      </c>
      <c r="AN16" s="79">
        <f t="shared" si="1"/>
        <v>250000</v>
      </c>
      <c r="AO16" s="79">
        <f t="shared" si="1"/>
        <v>0</v>
      </c>
      <c r="AP16" s="79">
        <f t="shared" si="1"/>
        <v>3137250</v>
      </c>
    </row>
    <row r="17" spans="37:46" ht="30" customHeight="1">
      <c r="AK17" s="150">
        <f>AK10-AQ10</f>
        <v>5958917.9389312975</v>
      </c>
    </row>
    <row r="18" spans="37:46" ht="30" customHeight="1">
      <c r="AK18" s="151">
        <f>12:12</f>
        <v>5068969.4656488551</v>
      </c>
    </row>
    <row r="19" spans="37:46" ht="30" customHeight="1">
      <c r="AK19" s="149">
        <f>AK13-AQ13</f>
        <v>4950866.4122137409</v>
      </c>
      <c r="AM19" s="129"/>
      <c r="AN19" s="129"/>
      <c r="AO19" s="129"/>
      <c r="AP19" s="129"/>
      <c r="AQ19" s="83"/>
    </row>
    <row r="20" spans="37:46" ht="30" customHeight="1">
      <c r="AK20" s="89"/>
      <c r="AM20" s="129"/>
      <c r="AN20" s="129"/>
      <c r="AO20" s="129"/>
      <c r="AP20" s="129"/>
      <c r="AQ20" s="83"/>
      <c r="AR20" s="83"/>
      <c r="AS20" s="129"/>
      <c r="AT20" s="129"/>
    </row>
    <row r="21" spans="37:46" ht="30" customHeight="1">
      <c r="AK21" s="89"/>
      <c r="AM21" s="129"/>
      <c r="AN21" s="129"/>
      <c r="AO21" s="129"/>
      <c r="AP21" s="129"/>
      <c r="AQ21" s="83"/>
      <c r="AR21" s="83"/>
      <c r="AS21" s="129"/>
      <c r="AT21" s="129"/>
    </row>
    <row r="22" spans="37:46" ht="30" customHeight="1">
      <c r="AN22" s="129"/>
      <c r="AO22" s="129"/>
      <c r="AP22" s="129"/>
      <c r="AQ22" s="83"/>
      <c r="AR22" s="83"/>
      <c r="AS22" s="129"/>
      <c r="AT22" s="129"/>
    </row>
    <row r="23" spans="37:46" ht="30" customHeight="1">
      <c r="AN23" s="129"/>
      <c r="AO23" s="129"/>
      <c r="AP23" s="129"/>
      <c r="AQ23" s="83"/>
      <c r="AR23" s="83"/>
      <c r="AS23" s="129"/>
      <c r="AT23" s="129"/>
    </row>
    <row r="24" spans="37:46" ht="30" customHeight="1">
      <c r="AN24" s="129"/>
      <c r="AO24" s="129"/>
      <c r="AP24" s="129"/>
      <c r="AQ24" s="83"/>
      <c r="AR24" s="83"/>
      <c r="AS24" s="129"/>
      <c r="AT24" s="129"/>
    </row>
    <row r="25" spans="37:46" ht="30" customHeight="1">
      <c r="AN25" s="129"/>
      <c r="AO25" s="129"/>
      <c r="AP25" s="129"/>
      <c r="AQ25" s="83"/>
      <c r="AR25" s="83"/>
      <c r="AS25" s="129"/>
      <c r="AT25" s="129"/>
    </row>
    <row r="26" spans="37:46" ht="30" customHeight="1">
      <c r="AN26" s="129"/>
      <c r="AO26" s="129"/>
      <c r="AP26" s="129"/>
      <c r="AQ26" s="83"/>
      <c r="AR26" s="83"/>
      <c r="AS26" s="129"/>
      <c r="AT26" s="129"/>
    </row>
    <row r="27" spans="37:46" ht="30" customHeight="1">
      <c r="AN27" s="129"/>
      <c r="AO27" s="129"/>
      <c r="AP27" s="129"/>
      <c r="AQ27" s="83"/>
      <c r="AR27" s="83"/>
      <c r="AS27" s="129"/>
      <c r="AT27" s="129"/>
    </row>
    <row r="28" spans="37:46" ht="30" customHeight="1">
      <c r="AN28" s="129"/>
      <c r="AO28" s="129"/>
      <c r="AP28" s="129"/>
      <c r="AQ28" s="83"/>
      <c r="AR28" s="83"/>
      <c r="AS28" s="129"/>
      <c r="AT28" s="129"/>
    </row>
    <row r="29" spans="37:46" ht="30" customHeight="1">
      <c r="AN29" s="129"/>
      <c r="AO29" s="129"/>
      <c r="AP29" s="129"/>
      <c r="AQ29" s="83"/>
      <c r="AR29" s="83"/>
      <c r="AS29" s="129"/>
      <c r="AT29" s="129"/>
    </row>
    <row r="30" spans="37:46" ht="30" customHeight="1">
      <c r="AN30" s="129"/>
      <c r="AO30" s="129"/>
      <c r="AP30" s="129"/>
      <c r="AQ30" s="83"/>
      <c r="AR30" s="83"/>
      <c r="AS30" s="129"/>
      <c r="AT30" s="129"/>
    </row>
    <row r="31" spans="37:46" ht="30" customHeight="1">
      <c r="AN31" s="129"/>
      <c r="AO31" s="129"/>
      <c r="AP31" s="129"/>
      <c r="AQ31" s="83"/>
      <c r="AR31" s="83"/>
      <c r="AS31" s="129"/>
      <c r="AT31" s="129"/>
    </row>
    <row r="32" spans="37:46" ht="30" customHeight="1">
      <c r="AN32" s="129"/>
      <c r="AO32" s="129"/>
      <c r="AP32" s="129"/>
      <c r="AQ32" s="83"/>
      <c r="AR32" s="83"/>
      <c r="AS32" s="129"/>
      <c r="AT32" s="129"/>
    </row>
    <row r="33" spans="35:46" ht="30" customHeight="1">
      <c r="AK33" s="129"/>
      <c r="AL33" s="129"/>
      <c r="AM33" s="129"/>
      <c r="AN33" s="129"/>
      <c r="AO33" s="129"/>
      <c r="AP33" s="129"/>
      <c r="AQ33" s="83"/>
      <c r="AR33" s="83"/>
      <c r="AS33" s="129"/>
      <c r="AT33" s="129"/>
    </row>
    <row r="34" spans="35:46" ht="30" customHeight="1">
      <c r="AI34" s="129"/>
      <c r="AJ34" s="129"/>
      <c r="AK34" s="129"/>
      <c r="AL34" s="129"/>
      <c r="AM34" s="129"/>
      <c r="AN34" s="129"/>
      <c r="AO34" s="129"/>
      <c r="AP34" s="129"/>
      <c r="AQ34" s="83"/>
      <c r="AR34" s="83"/>
      <c r="AS34" s="129"/>
      <c r="AT34" s="129"/>
    </row>
    <row r="35" spans="35:46" ht="30" customHeight="1">
      <c r="AI35" s="129"/>
      <c r="AJ35" s="129"/>
      <c r="AK35" s="129"/>
      <c r="AL35" s="129"/>
      <c r="AM35" s="129"/>
      <c r="AN35" s="129"/>
      <c r="AO35" s="129"/>
      <c r="AP35" s="129"/>
      <c r="AQ35" s="83"/>
      <c r="AR35" s="83"/>
      <c r="AS35" s="129"/>
      <c r="AT35" s="129"/>
    </row>
    <row r="36" spans="35:46" ht="30" customHeight="1">
      <c r="AI36" s="129"/>
      <c r="AJ36" s="129"/>
      <c r="AK36" s="129"/>
      <c r="AL36" s="129"/>
      <c r="AM36" s="129"/>
      <c r="AN36" s="129"/>
      <c r="AO36" s="129"/>
      <c r="AP36" s="129"/>
      <c r="AQ36" s="83"/>
      <c r="AR36" s="83"/>
      <c r="AS36" s="129"/>
      <c r="AT36" s="129"/>
    </row>
    <row r="37" spans="35:46" ht="30" customHeight="1">
      <c r="AI37" s="129"/>
      <c r="AJ37" s="129"/>
      <c r="AK37" s="129"/>
      <c r="AL37" s="129"/>
      <c r="AM37" s="129"/>
      <c r="AN37" s="129"/>
      <c r="AO37" s="129"/>
      <c r="AP37" s="129"/>
      <c r="AQ37" s="83"/>
      <c r="AR37" s="83"/>
      <c r="AS37" s="129"/>
      <c r="AT37" s="129"/>
    </row>
    <row r="38" spans="35:46" ht="30" customHeight="1">
      <c r="AI38" s="129"/>
      <c r="AJ38" s="129"/>
      <c r="AK38" s="129"/>
      <c r="AL38" s="129"/>
      <c r="AM38" s="129"/>
      <c r="AN38" s="129"/>
      <c r="AO38" s="129"/>
      <c r="AP38" s="129"/>
      <c r="AQ38" s="83"/>
      <c r="AR38" s="83"/>
      <c r="AS38" s="129"/>
      <c r="AT38" s="129"/>
    </row>
    <row r="39" spans="35:46" ht="30" customHeight="1">
      <c r="AI39" s="129"/>
      <c r="AJ39" s="129"/>
      <c r="AK39" s="129"/>
      <c r="AL39" s="129"/>
      <c r="AM39" s="129"/>
      <c r="AN39" s="129"/>
      <c r="AO39" s="129"/>
      <c r="AP39" s="129"/>
      <c r="AQ39" s="83"/>
      <c r="AR39" s="83"/>
      <c r="AS39" s="129"/>
      <c r="AT39" s="129"/>
    </row>
    <row r="40" spans="35:46" ht="30" customHeight="1">
      <c r="AI40" s="129"/>
      <c r="AJ40" s="129"/>
      <c r="AK40" s="129"/>
      <c r="AL40" s="129"/>
      <c r="AM40" s="129"/>
      <c r="AN40" s="129"/>
      <c r="AO40" s="129"/>
      <c r="AP40" s="129"/>
      <c r="AQ40" s="83"/>
      <c r="AR40" s="83"/>
      <c r="AS40" s="129"/>
      <c r="AT40" s="129"/>
    </row>
    <row r="41" spans="35:46" ht="30" customHeight="1">
      <c r="AI41" s="129"/>
      <c r="AJ41" s="129"/>
      <c r="AR41" s="83"/>
      <c r="AS41" s="129"/>
      <c r="AT41" s="129"/>
    </row>
  </sheetData>
  <mergeCells count="11">
    <mergeCell ref="AP6:AQ7"/>
    <mergeCell ref="C6:AG6"/>
    <mergeCell ref="D4:F4"/>
    <mergeCell ref="L4:N4"/>
    <mergeCell ref="P4:R4"/>
    <mergeCell ref="H5:J5"/>
    <mergeCell ref="L5:N5"/>
    <mergeCell ref="P5:R5"/>
    <mergeCell ref="W5:AB5"/>
    <mergeCell ref="AC5:AH5"/>
    <mergeCell ref="T4:V5"/>
  </mergeCells>
  <conditionalFormatting sqref="C9:G9 M9:Q9 I9:L13 R9:AB14 AD9:AG14 C10 E10:F10 M10 O10:Q10 C11:G11 M11:Q11 C12:F12 P12:Q13 C13:G13 N13 D14 G14 I14 K14:N14 P14 C15:AG15">
    <cfRule type="expression" priority="13" stopIfTrue="1">
      <formula>C9=""</formula>
    </cfRule>
    <cfRule type="expression" dxfId="914" priority="14" stopIfTrue="1">
      <formula>C9=KeyCustom2</formula>
    </cfRule>
    <cfRule type="expression" dxfId="913" priority="15" stopIfTrue="1">
      <formula>C9=KeyCustom1</formula>
    </cfRule>
    <cfRule type="expression" dxfId="912" priority="16" stopIfTrue="1">
      <formula>C9=KeySick</formula>
    </cfRule>
    <cfRule type="expression" dxfId="911" priority="17" stopIfTrue="1">
      <formula>C9=KeyPersonal</formula>
    </cfRule>
    <cfRule type="expression" dxfId="910" priority="18" stopIfTrue="1">
      <formula>C9=KeyVacation</formula>
    </cfRule>
  </conditionalFormatting>
  <conditionalFormatting sqref="AC11">
    <cfRule type="expression" priority="7" stopIfTrue="1">
      <formula>AC11=""</formula>
    </cfRule>
    <cfRule type="expression" dxfId="909" priority="8" stopIfTrue="1">
      <formula>AC11=KeyCustom2</formula>
    </cfRule>
    <cfRule type="expression" dxfId="908" priority="9" stopIfTrue="1">
      <formula>AC11=KeyCustom1</formula>
    </cfRule>
    <cfRule type="expression" dxfId="907" priority="10" stopIfTrue="1">
      <formula>AC11=KeySick</formula>
    </cfRule>
    <cfRule type="expression" dxfId="906" priority="11" stopIfTrue="1">
      <formula>AC11=KeyPersonal</formula>
    </cfRule>
    <cfRule type="expression" dxfId="905" priority="12" stopIfTrue="1">
      <formula>AC11=KeyVacation</formula>
    </cfRule>
  </conditionalFormatting>
  <conditionalFormatting sqref="AC14">
    <cfRule type="expression" priority="1" stopIfTrue="1">
      <formula>AC14=""</formula>
    </cfRule>
    <cfRule type="expression" dxfId="904" priority="2" stopIfTrue="1">
      <formula>AC14=KeyCustom2</formula>
    </cfRule>
    <cfRule type="expression" dxfId="903" priority="3" stopIfTrue="1">
      <formula>AC14=KeyCustom1</formula>
    </cfRule>
    <cfRule type="expression" dxfId="902" priority="4" stopIfTrue="1">
      <formula>AC14=KeySick</formula>
    </cfRule>
    <cfRule type="expression" dxfId="901" priority="5" stopIfTrue="1">
      <formula>AC14=KeyPersonal</formula>
    </cfRule>
    <cfRule type="expression" dxfId="900" priority="6" stopIfTrue="1">
      <formula>AC14=KeyVacation</formula>
    </cfRule>
  </conditionalFormatting>
  <conditionalFormatting sqref="AH9:AH15">
    <cfRule type="dataBar" priority="19">
      <dataBar>
        <cfvo type="min"/>
        <cfvo type="formula" val="DATEDIF(DATE(CalendarYear,2,1),DATE(CalendarYear,3,1),&quot;d&quot;)"/>
        <color theme="2" tint="-0.249977111117893"/>
      </dataBar>
      <extLst>
        <ext xmlns:x14="http://schemas.microsoft.com/office/spreadsheetml/2009/9/main" uri="{B025F937-C7B1-47D3-B67F-A62EFF666E3E}">
          <x14:id>{1A021984-06A1-41D9-90D2-8C16E885020B}</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8"/>
    <dataValidation allowBlank="1" showInputMessage="1" showErrorMessage="1" prompt="Month name for this absence schedule is in this cell. Absence totals for this month are in last cell of the table. Select employee names in table column B" sqref="B2"/>
    <dataValidation allowBlank="1" showInputMessage="1" showErrorMessage="1" prompt="Enter a label to describe the custom key at left" sqref="H4:J4"/>
    <dataValidation allowBlank="1" showInputMessage="1" showErrorMessage="1" prompt="The letter &quot;S&quot; indicates absence due to illness" sqref="K4 O4 S4 G10:H10 G12:H12 E14:F14 C14 D10 H9 H11 J14 H13:H14 M12:M13 N12:O12 N10 O13:O14 Q14 AC9:AC10 AC12:AC13"/>
    <dataValidation allowBlank="1" showInputMessage="1" showErrorMessage="1" prompt="The letter &quot;P&quot; indicates absence due to personal reasons" sqref="G4"/>
    <dataValidation allowBlank="1" showInputMessage="1" showErrorMessage="1" prompt="The letter &quot;V&quot; indicates absence due to vacation" sqref="C4"/>
    <dataValidation allowBlank="1" showInputMessage="1" showErrorMessage="1" prompt="Automatically updated title is in this cell. To modify the title, update B1 on January worksheet" sqref="B2"/>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dataValidation allowBlank="1" showInputMessage="1" showErrorMessage="1" prompt="Track September absence in this worksheet" sqref="A1"/>
    <dataValidation allowBlank="1" showInputMessage="1" showErrorMessage="1" prompt="Automatically calculates total number of days an employee was absent this month in this column" sqref="AH8"/>
    <dataValidation allowBlank="1" showInputMessage="1" showErrorMessage="1" prompt="Automatically updated year based on year entered in January worksheet" sqref="AH6"/>
    <dataValidation allowBlank="1" showInputMessage="1" showErrorMessage="1" prompt="Weekdays in this row are automatically updated for the month according to the year in AH4. Each day of the month is a column to note an employee's absence and absence type" sqref="C7"/>
    <dataValidation allowBlank="1" showInputMessage="1" showErrorMessage="1" prompt="This row defines the keys used in the table: cell C4 is Vacation, G4 is Personal, &amp; K4 is Sick leave. Cells N4 &amp; R4 are customizable " sqref="B4"/>
    <dataValidation allowBlank="1" showInputMessage="1" showErrorMessage="1" prompt="Title of the worksheet is in this cell. " sqref="B1"/>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A021984-06A1-41D9-90D2-8C16E885020B}">
            <x14:dataBar minLength="0" maxLength="100">
              <x14:cfvo type="autoMin"/>
              <x14:cfvo type="formula">
                <xm:f>DATEDIF(DATE(CalendarYear,2,1),DATE(CalendarYear,3,1),"d")</xm:f>
              </x14:cfvo>
              <x14:negativeFillColor rgb="FFFF0000"/>
              <x14:axisColor rgb="FF000000"/>
            </x14:dataBar>
          </x14:cfRule>
          <xm:sqref>AH9:AH15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names'!$C$5:$C$23</xm:f>
          </x14:formula1>
          <xm:sqref>B9:B15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B1:AU46"/>
  <sheetViews>
    <sheetView showGridLines="0" topLeftCell="A4" zoomScale="70" zoomScaleNormal="70" workbookViewId="0">
      <selection activeCell="AH9" sqref="AH9"/>
    </sheetView>
  </sheetViews>
  <sheetFormatPr defaultColWidth="8.77734375" defaultRowHeight="30" customHeight="1"/>
  <cols>
    <col min="1" max="1" width="3.109375" customWidth="1"/>
    <col min="2" max="2" width="5.109375" style="154" customWidth="1"/>
    <col min="3" max="3" width="25.109375" customWidth="1"/>
    <col min="4" max="34" width="4.6640625" customWidth="1"/>
    <col min="35" max="35" width="10.88671875" customWidth="1"/>
    <col min="36" max="36" width="10.44140625" customWidth="1"/>
    <col min="37" max="37" width="1.6640625" customWidth="1"/>
    <col min="38" max="38" width="16.88671875" customWidth="1"/>
    <col min="39" max="39" width="14.44140625" customWidth="1"/>
    <col min="40" max="40" width="13.6640625" customWidth="1"/>
    <col min="41" max="41" width="11.5546875" customWidth="1"/>
    <col min="42" max="42" width="12.109375" customWidth="1"/>
    <col min="43" max="43" width="13.109375" customWidth="1"/>
  </cols>
  <sheetData>
    <row r="1" spans="2:44" ht="25.2" customHeight="1">
      <c r="C1" s="24" t="s">
        <v>53</v>
      </c>
    </row>
    <row r="2" spans="2:44" ht="48.6" customHeight="1">
      <c r="C2" s="132" t="s">
        <v>49</v>
      </c>
    </row>
    <row r="3" spans="2:44" ht="15" customHeight="1" thickBot="1">
      <c r="C3" s="9"/>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row>
    <row r="4" spans="2:44" ht="14.4" customHeight="1">
      <c r="C4" s="7" t="s">
        <v>54</v>
      </c>
      <c r="D4" s="39" t="s">
        <v>32</v>
      </c>
      <c r="E4" s="293" t="s">
        <v>37</v>
      </c>
      <c r="F4" s="293"/>
      <c r="G4" s="294"/>
      <c r="H4" s="152" t="s">
        <v>74</v>
      </c>
      <c r="I4" s="40" t="s">
        <v>73</v>
      </c>
      <c r="J4" s="41"/>
      <c r="K4" s="42"/>
      <c r="L4" s="38" t="s">
        <v>31</v>
      </c>
      <c r="M4" s="297" t="s">
        <v>75</v>
      </c>
      <c r="N4" s="297"/>
      <c r="O4" s="298"/>
      <c r="P4" s="38"/>
      <c r="Q4" s="297"/>
      <c r="R4" s="297"/>
      <c r="S4" s="298"/>
      <c r="T4" s="38"/>
      <c r="U4" s="297"/>
      <c r="V4" s="297"/>
      <c r="W4" s="297"/>
      <c r="X4" s="72" t="s">
        <v>86</v>
      </c>
      <c r="Y4" s="70"/>
      <c r="Z4" s="70"/>
      <c r="AA4" s="70"/>
      <c r="AB4" s="70"/>
      <c r="AC4" s="71"/>
      <c r="AD4" s="72" t="s">
        <v>88</v>
      </c>
      <c r="AE4" s="70"/>
      <c r="AF4" s="70"/>
      <c r="AG4" s="70"/>
      <c r="AH4" s="70"/>
      <c r="AI4" s="70"/>
      <c r="AJ4" s="77" t="s">
        <v>89</v>
      </c>
    </row>
    <row r="5" spans="2:44" ht="15" customHeight="1" thickBot="1">
      <c r="C5" s="8"/>
      <c r="D5" s="35"/>
      <c r="E5" s="36"/>
      <c r="F5" s="36"/>
      <c r="G5" s="37"/>
      <c r="H5" s="35"/>
      <c r="I5" s="295"/>
      <c r="J5" s="295"/>
      <c r="K5" s="296"/>
      <c r="L5" s="35"/>
      <c r="M5" s="295"/>
      <c r="N5" s="295"/>
      <c r="O5" s="296"/>
      <c r="P5" s="35"/>
      <c r="Q5" s="295"/>
      <c r="R5" s="295"/>
      <c r="S5" s="296"/>
      <c r="T5" s="35"/>
      <c r="U5" s="295"/>
      <c r="V5" s="295"/>
      <c r="W5" s="295"/>
      <c r="X5" s="286"/>
      <c r="Y5" s="287"/>
      <c r="Z5" s="287"/>
      <c r="AA5" s="287"/>
      <c r="AB5" s="287"/>
      <c r="AC5" s="288"/>
      <c r="AD5" s="290">
        <f>X5/June[[#Totals],[Working Day]]</f>
        <v>0</v>
      </c>
      <c r="AE5" s="291"/>
      <c r="AF5" s="291"/>
      <c r="AG5" s="291"/>
      <c r="AH5" s="291"/>
      <c r="AI5" s="291"/>
      <c r="AJ5" s="78">
        <v>20000</v>
      </c>
    </row>
    <row r="6" spans="2:44" ht="29.4" customHeight="1">
      <c r="C6" s="6"/>
      <c r="D6" s="283" t="s">
        <v>55</v>
      </c>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283"/>
      <c r="AI6" s="6">
        <f ca="1">CalendarYear</f>
        <v>2026</v>
      </c>
      <c r="AQ6" s="289"/>
      <c r="AR6" s="289"/>
    </row>
    <row r="7" spans="2:44" ht="30" customHeight="1">
      <c r="C7" s="6"/>
      <c r="D7" s="21" t="str">
        <f ca="1">TEXT(WEEKDAY(DATE(CalendarYear,10,1),1),"aaa")</f>
        <v>Thu</v>
      </c>
      <c r="E7" s="21" t="str">
        <f ca="1">TEXT(WEEKDAY(DATE(CalendarYear,10,2),1),"aaa")</f>
        <v>Fri</v>
      </c>
      <c r="F7" s="21" t="str">
        <f ca="1">TEXT(WEEKDAY(DATE(CalendarYear,10,3),1),"aaa")</f>
        <v>Sat</v>
      </c>
      <c r="G7" s="21" t="str">
        <f ca="1">TEXT(WEEKDAY(DATE(CalendarYear,10,4),1),"aaa")</f>
        <v>Sun</v>
      </c>
      <c r="H7" s="21" t="str">
        <f ca="1">TEXT(WEEKDAY(DATE(CalendarYear,10,5),1),"aaa")</f>
        <v>Mon</v>
      </c>
      <c r="I7" s="21" t="str">
        <f ca="1">TEXT(WEEKDAY(DATE(CalendarYear,10,6),1),"aaa")</f>
        <v>Tue</v>
      </c>
      <c r="J7" s="21" t="str">
        <f ca="1">TEXT(WEEKDAY(DATE(CalendarYear,10,7),1),"aaa")</f>
        <v>Wed</v>
      </c>
      <c r="K7" s="21" t="str">
        <f ca="1">TEXT(WEEKDAY(DATE(CalendarYear,10,8),1),"aaa")</f>
        <v>Thu</v>
      </c>
      <c r="L7" s="21" t="str">
        <f ca="1">TEXT(WEEKDAY(DATE(CalendarYear,10,9),1),"aaa")</f>
        <v>Fri</v>
      </c>
      <c r="M7" s="21" t="str">
        <f ca="1">TEXT(WEEKDAY(DATE(CalendarYear,10,10),1),"aaa")</f>
        <v>Sat</v>
      </c>
      <c r="N7" s="21" t="str">
        <f ca="1">TEXT(WEEKDAY(DATE(CalendarYear,10,11),1),"aaa")</f>
        <v>Sun</v>
      </c>
      <c r="O7" s="21" t="str">
        <f ca="1">TEXT(WEEKDAY(DATE(CalendarYear,10,12),1),"aaa")</f>
        <v>Mon</v>
      </c>
      <c r="P7" s="21" t="str">
        <f ca="1">TEXT(WEEKDAY(DATE(CalendarYear,10,13),1),"aaa")</f>
        <v>Tue</v>
      </c>
      <c r="Q7" s="21" t="str">
        <f ca="1">TEXT(WEEKDAY(DATE(CalendarYear,10,14),1),"aaa")</f>
        <v>Wed</v>
      </c>
      <c r="R7" s="21" t="str">
        <f ca="1">TEXT(WEEKDAY(DATE(CalendarYear,10,15),1),"aaa")</f>
        <v>Thu</v>
      </c>
      <c r="S7" s="21" t="str">
        <f ca="1">TEXT(WEEKDAY(DATE(CalendarYear,10,16),1),"aaa")</f>
        <v>Fri</v>
      </c>
      <c r="T7" s="21" t="str">
        <f ca="1">TEXT(WEEKDAY(DATE(CalendarYear,10,17),1),"aaa")</f>
        <v>Sat</v>
      </c>
      <c r="U7" s="21" t="str">
        <f ca="1">TEXT(WEEKDAY(DATE(CalendarYear,10,18),1),"aaa")</f>
        <v>Sun</v>
      </c>
      <c r="V7" s="21" t="str">
        <f ca="1">TEXT(WEEKDAY(DATE(CalendarYear,10,19),1),"aaa")</f>
        <v>Mon</v>
      </c>
      <c r="W7" s="21" t="str">
        <f ca="1">TEXT(WEEKDAY(DATE(CalendarYear,10,20),1),"aaa")</f>
        <v>Tue</v>
      </c>
      <c r="X7" s="21" t="str">
        <f ca="1">TEXT(WEEKDAY(DATE(CalendarYear,10,21),1),"aaa")</f>
        <v>Wed</v>
      </c>
      <c r="Y7" s="21" t="str">
        <f ca="1">TEXT(WEEKDAY(DATE(CalendarYear,10,22),1),"aaa")</f>
        <v>Thu</v>
      </c>
      <c r="Z7" s="21" t="str">
        <f ca="1">TEXT(WEEKDAY(DATE(CalendarYear,10,23),1),"aaa")</f>
        <v>Fri</v>
      </c>
      <c r="AA7" s="21" t="str">
        <f ca="1">TEXT(WEEKDAY(DATE(CalendarYear,10,24),1),"aaa")</f>
        <v>Sat</v>
      </c>
      <c r="AB7" s="21" t="str">
        <f ca="1">TEXT(WEEKDAY(DATE(CalendarYear,10,25),1),"aaa")</f>
        <v>Sun</v>
      </c>
      <c r="AC7" s="21" t="str">
        <f ca="1">TEXT(WEEKDAY(DATE(CalendarYear,10,26),1),"aaa")</f>
        <v>Mon</v>
      </c>
      <c r="AD7" s="21" t="str">
        <f ca="1">TEXT(WEEKDAY(DATE(CalendarYear,10,27),1),"aaa")</f>
        <v>Tue</v>
      </c>
      <c r="AE7" s="21" t="str">
        <f ca="1">TEXT(WEEKDAY(DATE(CalendarYear,10,28),1),"aaa")</f>
        <v>Wed</v>
      </c>
      <c r="AF7" s="21" t="str">
        <f ca="1">TEXT(WEEKDAY(DATE(CalendarYear,10,29),1),"aaa")</f>
        <v>Thu</v>
      </c>
      <c r="AG7" s="21" t="str">
        <f ca="1">TEXT(WEEKDAY(DATE(CalendarYear,10,30),1),"aaa")</f>
        <v>Fri</v>
      </c>
      <c r="AH7" s="21" t="str">
        <f ca="1">TEXT(WEEKDAY(DATE(CalendarYear,10,31),1),"aaa")</f>
        <v>Sat</v>
      </c>
      <c r="AI7" s="6"/>
      <c r="AQ7" s="289"/>
      <c r="AR7" s="289"/>
    </row>
    <row r="8" spans="2:44" ht="32.4" customHeight="1">
      <c r="B8" s="154" t="s">
        <v>115</v>
      </c>
      <c r="C8" s="106" t="s">
        <v>61</v>
      </c>
      <c r="D8" s="1" t="s">
        <v>0</v>
      </c>
      <c r="E8" s="1" t="s">
        <v>1</v>
      </c>
      <c r="F8" s="1" t="s">
        <v>2</v>
      </c>
      <c r="G8" s="1" t="s">
        <v>3</v>
      </c>
      <c r="H8" s="86" t="s">
        <v>4</v>
      </c>
      <c r="I8" s="1" t="s">
        <v>5</v>
      </c>
      <c r="J8" s="1" t="s">
        <v>6</v>
      </c>
      <c r="K8" s="1" t="s">
        <v>7</v>
      </c>
      <c r="L8" s="1" t="s">
        <v>8</v>
      </c>
      <c r="M8" s="1" t="s">
        <v>9</v>
      </c>
      <c r="N8" s="1" t="s">
        <v>10</v>
      </c>
      <c r="O8" s="86" t="s">
        <v>11</v>
      </c>
      <c r="P8" s="1" t="s">
        <v>12</v>
      </c>
      <c r="Q8" s="1" t="s">
        <v>13</v>
      </c>
      <c r="R8" s="1" t="s">
        <v>14</v>
      </c>
      <c r="S8" s="1" t="s">
        <v>15</v>
      </c>
      <c r="T8" s="1" t="s">
        <v>16</v>
      </c>
      <c r="U8" s="1" t="s">
        <v>17</v>
      </c>
      <c r="V8" s="86" t="s">
        <v>18</v>
      </c>
      <c r="W8" s="1" t="s">
        <v>19</v>
      </c>
      <c r="X8" s="1" t="s">
        <v>20</v>
      </c>
      <c r="Y8" s="1" t="s">
        <v>21</v>
      </c>
      <c r="Z8" s="1" t="s">
        <v>22</v>
      </c>
      <c r="AA8" s="1" t="s">
        <v>23</v>
      </c>
      <c r="AB8" s="1" t="s">
        <v>24</v>
      </c>
      <c r="AC8" s="86" t="s">
        <v>25</v>
      </c>
      <c r="AD8" s="1" t="s">
        <v>26</v>
      </c>
      <c r="AE8" s="1" t="s">
        <v>27</v>
      </c>
      <c r="AF8" s="1" t="s">
        <v>28</v>
      </c>
      <c r="AG8" s="1" t="s">
        <v>29</v>
      </c>
      <c r="AH8" s="1" t="s">
        <v>30</v>
      </c>
      <c r="AI8" s="22" t="s">
        <v>62</v>
      </c>
      <c r="AL8" s="75" t="s">
        <v>87</v>
      </c>
      <c r="AM8" s="53" t="s">
        <v>76</v>
      </c>
      <c r="AN8" s="54" t="s">
        <v>77</v>
      </c>
      <c r="AO8" s="54" t="s">
        <v>78</v>
      </c>
      <c r="AP8" s="126" t="s">
        <v>99</v>
      </c>
      <c r="AQ8" s="73" t="s">
        <v>85</v>
      </c>
    </row>
    <row r="9" spans="2:44" ht="32.4" customHeight="1">
      <c r="B9" s="154">
        <v>1</v>
      </c>
      <c r="C9" s="99" t="s">
        <v>116</v>
      </c>
      <c r="D9" s="1" t="s">
        <v>72</v>
      </c>
      <c r="E9" s="1" t="s">
        <v>72</v>
      </c>
      <c r="F9" s="1" t="s">
        <v>72</v>
      </c>
      <c r="G9" s="1" t="s">
        <v>72</v>
      </c>
      <c r="H9" s="1"/>
      <c r="I9" s="1" t="s">
        <v>72</v>
      </c>
      <c r="J9" s="1" t="s">
        <v>72</v>
      </c>
      <c r="K9" s="1" t="s">
        <v>72</v>
      </c>
      <c r="L9" s="1" t="s">
        <v>72</v>
      </c>
      <c r="M9" s="1" t="s">
        <v>72</v>
      </c>
      <c r="N9" s="1" t="s">
        <v>72</v>
      </c>
      <c r="O9" s="1"/>
      <c r="P9" s="1" t="s">
        <v>72</v>
      </c>
      <c r="Q9" s="1" t="s">
        <v>72</v>
      </c>
      <c r="R9" s="1" t="s">
        <v>72</v>
      </c>
      <c r="S9" s="1" t="s">
        <v>72</v>
      </c>
      <c r="T9" s="1" t="s">
        <v>72</v>
      </c>
      <c r="U9" s="1" t="s">
        <v>72</v>
      </c>
      <c r="V9" s="1"/>
      <c r="W9" s="1" t="s">
        <v>72</v>
      </c>
      <c r="X9" s="1" t="s">
        <v>72</v>
      </c>
      <c r="Y9" s="1" t="s">
        <v>72</v>
      </c>
      <c r="Z9" s="1" t="s">
        <v>72</v>
      </c>
      <c r="AA9" s="1" t="s">
        <v>72</v>
      </c>
      <c r="AB9" s="1" t="s">
        <v>72</v>
      </c>
      <c r="AC9" s="1"/>
      <c r="AD9" s="1"/>
      <c r="AE9" s="1"/>
      <c r="AF9" s="1"/>
      <c r="AG9" s="1"/>
      <c r="AH9" s="1"/>
      <c r="AI9" s="3"/>
      <c r="AL9" s="76">
        <f>SUM(AM9:AQ9)</f>
        <v>10000000</v>
      </c>
      <c r="AM9" s="76">
        <v>10000000</v>
      </c>
      <c r="AN9" s="76">
        <f>AJ5*October[[#This Row],[Total days]]</f>
        <v>0</v>
      </c>
      <c r="AO9" s="76"/>
      <c r="AP9" s="76"/>
      <c r="AQ9" s="76"/>
    </row>
    <row r="10" spans="2:44" ht="32.4" customHeight="1">
      <c r="B10" s="154">
        <v>2</v>
      </c>
      <c r="C10" s="99" t="s">
        <v>117</v>
      </c>
      <c r="D10" s="1" t="s">
        <v>72</v>
      </c>
      <c r="E10" s="1" t="s">
        <v>72</v>
      </c>
      <c r="F10" s="1" t="s">
        <v>72</v>
      </c>
      <c r="G10" s="1" t="s">
        <v>72</v>
      </c>
      <c r="H10" s="1"/>
      <c r="I10" s="1" t="s">
        <v>72</v>
      </c>
      <c r="J10" s="1" t="s">
        <v>72</v>
      </c>
      <c r="K10" s="1" t="s">
        <v>72</v>
      </c>
      <c r="L10" s="1" t="s">
        <v>72</v>
      </c>
      <c r="M10" s="1" t="s">
        <v>72</v>
      </c>
      <c r="N10" s="1" t="s">
        <v>72</v>
      </c>
      <c r="O10" s="1"/>
      <c r="P10" s="1" t="s">
        <v>72</v>
      </c>
      <c r="Q10" s="1" t="s">
        <v>72</v>
      </c>
      <c r="R10" s="1" t="s">
        <v>72</v>
      </c>
      <c r="S10" s="1" t="s">
        <v>72</v>
      </c>
      <c r="T10" s="1" t="s">
        <v>72</v>
      </c>
      <c r="U10" s="1" t="s">
        <v>72</v>
      </c>
      <c r="V10" s="1"/>
      <c r="W10" s="1" t="s">
        <v>72</v>
      </c>
      <c r="X10" s="1" t="s">
        <v>72</v>
      </c>
      <c r="Y10" s="1" t="s">
        <v>72</v>
      </c>
      <c r="Z10" s="1" t="s">
        <v>72</v>
      </c>
      <c r="AA10" s="1" t="s">
        <v>72</v>
      </c>
      <c r="AB10" s="1" t="s">
        <v>72</v>
      </c>
      <c r="AC10" s="1"/>
      <c r="AD10" s="1"/>
      <c r="AE10" s="1"/>
      <c r="AF10" s="1"/>
      <c r="AG10" s="1"/>
      <c r="AH10" s="1"/>
      <c r="AI10" s="3"/>
      <c r="AL10" s="76">
        <f>SUM(AM10:AQ10)</f>
        <v>5000000</v>
      </c>
      <c r="AM10" s="76">
        <v>5000000</v>
      </c>
      <c r="AN10" s="76">
        <f>$AJ$5*October[[#This Row],[Total days]]</f>
        <v>0</v>
      </c>
      <c r="AO10" s="76"/>
      <c r="AP10" s="76"/>
      <c r="AQ10" s="76"/>
    </row>
    <row r="11" spans="2:44" ht="32.4" customHeight="1">
      <c r="B11" s="154">
        <v>3</v>
      </c>
      <c r="C11" s="99" t="s">
        <v>118</v>
      </c>
      <c r="D11" s="1" t="s">
        <v>72</v>
      </c>
      <c r="E11" s="1" t="s">
        <v>72</v>
      </c>
      <c r="F11" s="1" t="s">
        <v>72</v>
      </c>
      <c r="G11" s="1" t="s">
        <v>72</v>
      </c>
      <c r="H11" s="1"/>
      <c r="I11" s="1" t="s">
        <v>72</v>
      </c>
      <c r="J11" s="1" t="s">
        <v>72</v>
      </c>
      <c r="K11" s="1" t="s">
        <v>72</v>
      </c>
      <c r="L11" s="1" t="s">
        <v>72</v>
      </c>
      <c r="M11" s="1" t="s">
        <v>72</v>
      </c>
      <c r="N11" s="1" t="s">
        <v>72</v>
      </c>
      <c r="O11" s="1"/>
      <c r="P11" s="1" t="s">
        <v>72</v>
      </c>
      <c r="Q11" s="1" t="s">
        <v>72</v>
      </c>
      <c r="R11" s="1" t="s">
        <v>72</v>
      </c>
      <c r="S11" s="1" t="s">
        <v>72</v>
      </c>
      <c r="T11" s="1" t="s">
        <v>72</v>
      </c>
      <c r="U11" s="1" t="s">
        <v>72</v>
      </c>
      <c r="V11" s="1"/>
      <c r="W11" s="1" t="s">
        <v>72</v>
      </c>
      <c r="X11" s="1" t="s">
        <v>72</v>
      </c>
      <c r="Y11" s="1" t="s">
        <v>72</v>
      </c>
      <c r="Z11" s="1" t="s">
        <v>72</v>
      </c>
      <c r="AA11" s="1" t="s">
        <v>72</v>
      </c>
      <c r="AB11" s="1" t="s">
        <v>72</v>
      </c>
      <c r="AC11" s="1"/>
      <c r="AD11" s="1"/>
      <c r="AE11" s="1"/>
      <c r="AF11" s="1"/>
      <c r="AG11" s="1"/>
      <c r="AH11" s="1"/>
      <c r="AI11" s="3"/>
      <c r="AL11" s="76">
        <f t="shared" ref="AL11" si="0">SUM(AM11:AQ11)</f>
        <v>2000000</v>
      </c>
      <c r="AM11" s="76">
        <v>2000000</v>
      </c>
      <c r="AN11" s="76">
        <f>$AJ$5*October[[#This Row],[Total days]]</f>
        <v>0</v>
      </c>
      <c r="AO11" s="76"/>
      <c r="AP11" s="76"/>
      <c r="AQ11" s="76"/>
    </row>
    <row r="12" spans="2:44" ht="32.4" customHeight="1">
      <c r="B12" s="154">
        <v>4</v>
      </c>
      <c r="C12" s="99" t="s">
        <v>119</v>
      </c>
      <c r="D12" s="1" t="s">
        <v>72</v>
      </c>
      <c r="E12" s="1" t="s">
        <v>72</v>
      </c>
      <c r="F12" s="1" t="s">
        <v>72</v>
      </c>
      <c r="G12" s="1" t="s">
        <v>72</v>
      </c>
      <c r="H12" s="1"/>
      <c r="I12" s="1" t="s">
        <v>72</v>
      </c>
      <c r="J12" s="1" t="s">
        <v>72</v>
      </c>
      <c r="K12" s="1" t="s">
        <v>72</v>
      </c>
      <c r="L12" s="1" t="s">
        <v>72</v>
      </c>
      <c r="M12" s="1" t="s">
        <v>72</v>
      </c>
      <c r="N12" s="1" t="s">
        <v>72</v>
      </c>
      <c r="O12" s="1"/>
      <c r="P12" s="1" t="s">
        <v>72</v>
      </c>
      <c r="Q12" s="1" t="s">
        <v>72</v>
      </c>
      <c r="R12" s="1" t="s">
        <v>72</v>
      </c>
      <c r="S12" s="1" t="s">
        <v>72</v>
      </c>
      <c r="T12" s="1" t="s">
        <v>72</v>
      </c>
      <c r="U12" s="1" t="s">
        <v>72</v>
      </c>
      <c r="V12" s="1"/>
      <c r="W12" s="1" t="s">
        <v>72</v>
      </c>
      <c r="X12" s="1" t="s">
        <v>72</v>
      </c>
      <c r="Y12" s="1" t="s">
        <v>72</v>
      </c>
      <c r="Z12" s="1" t="s">
        <v>72</v>
      </c>
      <c r="AA12" s="1" t="s">
        <v>72</v>
      </c>
      <c r="AB12" s="1" t="s">
        <v>72</v>
      </c>
      <c r="AC12" s="1"/>
      <c r="AD12" s="1"/>
      <c r="AE12" s="1"/>
      <c r="AF12" s="1"/>
      <c r="AG12" s="1"/>
      <c r="AH12" s="1"/>
      <c r="AI12" s="3">
        <f>COUNTA(October[[#This Row],[1]:[31]])</f>
        <v>22</v>
      </c>
      <c r="AL12" s="76">
        <f>SUM(AM12:AQ12)</f>
        <v>5490000</v>
      </c>
      <c r="AM12" s="76">
        <v>5000000</v>
      </c>
      <c r="AN12" s="76">
        <f>$AJ$5*October[[#This Row],[Total days]]</f>
        <v>440000</v>
      </c>
      <c r="AO12" s="76">
        <v>50000</v>
      </c>
      <c r="AP12" s="76"/>
      <c r="AQ12" s="76"/>
    </row>
    <row r="13" spans="2:44" ht="32.4" customHeight="1">
      <c r="B13" s="154">
        <v>5</v>
      </c>
      <c r="C13" s="99" t="s">
        <v>120</v>
      </c>
      <c r="D13" s="1" t="s">
        <v>72</v>
      </c>
      <c r="E13" s="1" t="s">
        <v>72</v>
      </c>
      <c r="F13" s="1" t="s">
        <v>72</v>
      </c>
      <c r="G13" s="1" t="s">
        <v>72</v>
      </c>
      <c r="H13" s="1"/>
      <c r="I13" s="1" t="s">
        <v>72</v>
      </c>
      <c r="J13" s="1" t="s">
        <v>72</v>
      </c>
      <c r="K13" s="1" t="s">
        <v>72</v>
      </c>
      <c r="L13" s="1" t="s">
        <v>72</v>
      </c>
      <c r="M13" s="1" t="s">
        <v>72</v>
      </c>
      <c r="N13" s="1" t="s">
        <v>72</v>
      </c>
      <c r="O13" s="1"/>
      <c r="P13" s="1" t="s">
        <v>72</v>
      </c>
      <c r="Q13" s="1" t="s">
        <v>72</v>
      </c>
      <c r="R13" s="1" t="s">
        <v>72</v>
      </c>
      <c r="S13" s="1" t="s">
        <v>72</v>
      </c>
      <c r="T13" s="1" t="s">
        <v>72</v>
      </c>
      <c r="U13" s="1" t="s">
        <v>72</v>
      </c>
      <c r="V13" s="1"/>
      <c r="W13" s="1" t="s">
        <v>72</v>
      </c>
      <c r="X13" s="1" t="s">
        <v>72</v>
      </c>
      <c r="Y13" s="1" t="s">
        <v>72</v>
      </c>
      <c r="Z13" s="1" t="s">
        <v>72</v>
      </c>
      <c r="AA13" s="1" t="s">
        <v>72</v>
      </c>
      <c r="AB13" s="1" t="s">
        <v>72</v>
      </c>
      <c r="AC13" s="1"/>
      <c r="AD13" s="1"/>
      <c r="AE13" s="1"/>
      <c r="AF13" s="1"/>
      <c r="AG13" s="1"/>
      <c r="AH13" s="1"/>
      <c r="AI13" s="3"/>
      <c r="AL13" s="76">
        <f t="shared" ref="AL13:AL20" si="1">SUM(AM13:AQ13)</f>
        <v>0</v>
      </c>
      <c r="AM13" s="76"/>
      <c r="AN13" s="76">
        <f>$AJ$5*October[[#This Row],[Total days]]</f>
        <v>0</v>
      </c>
      <c r="AO13" s="76"/>
      <c r="AP13" s="76"/>
      <c r="AQ13" s="76"/>
    </row>
    <row r="14" spans="2:44" ht="32.4" customHeight="1">
      <c r="B14" s="154">
        <v>6</v>
      </c>
      <c r="C14" s="116" t="s">
        <v>121</v>
      </c>
      <c r="D14" s="1" t="s">
        <v>72</v>
      </c>
      <c r="E14" s="1" t="s">
        <v>72</v>
      </c>
      <c r="F14" s="1" t="s">
        <v>72</v>
      </c>
      <c r="G14" s="1" t="s">
        <v>72</v>
      </c>
      <c r="H14" s="1"/>
      <c r="I14" s="1" t="s">
        <v>72</v>
      </c>
      <c r="J14" s="1" t="s">
        <v>72</v>
      </c>
      <c r="K14" s="1" t="s">
        <v>72</v>
      </c>
      <c r="L14" s="1" t="s">
        <v>72</v>
      </c>
      <c r="M14" s="1" t="s">
        <v>72</v>
      </c>
      <c r="N14" s="1" t="s">
        <v>72</v>
      </c>
      <c r="O14" s="1"/>
      <c r="P14" s="1" t="s">
        <v>72</v>
      </c>
      <c r="Q14" s="1" t="s">
        <v>72</v>
      </c>
      <c r="R14" s="1" t="s">
        <v>72</v>
      </c>
      <c r="S14" s="1" t="s">
        <v>72</v>
      </c>
      <c r="T14" s="1" t="s">
        <v>72</v>
      </c>
      <c r="U14" s="1" t="s">
        <v>72</v>
      </c>
      <c r="V14" s="1"/>
      <c r="W14" s="1" t="s">
        <v>72</v>
      </c>
      <c r="X14" s="1" t="s">
        <v>72</v>
      </c>
      <c r="Y14" s="1" t="s">
        <v>72</v>
      </c>
      <c r="Z14" s="1" t="s">
        <v>72</v>
      </c>
      <c r="AA14" s="1" t="s">
        <v>72</v>
      </c>
      <c r="AB14" s="1" t="s">
        <v>72</v>
      </c>
      <c r="AC14" s="1"/>
      <c r="AD14" s="1"/>
      <c r="AE14" s="1"/>
      <c r="AF14" s="1"/>
      <c r="AG14" s="1"/>
      <c r="AH14" s="1"/>
      <c r="AI14" s="3"/>
      <c r="AL14" s="76">
        <f t="shared" si="1"/>
        <v>0</v>
      </c>
      <c r="AM14" s="76"/>
      <c r="AN14" s="76">
        <f>$AJ$5*October[[#This Row],[Total days]]</f>
        <v>0</v>
      </c>
      <c r="AO14" s="76"/>
      <c r="AP14" s="76"/>
      <c r="AQ14" s="76"/>
    </row>
    <row r="15" spans="2:44" ht="32.4" customHeight="1">
      <c r="B15" s="154">
        <v>7</v>
      </c>
      <c r="C15" s="99" t="s">
        <v>123</v>
      </c>
      <c r="D15" s="1" t="s">
        <v>72</v>
      </c>
      <c r="E15" s="1" t="s">
        <v>72</v>
      </c>
      <c r="F15" s="1" t="s">
        <v>72</v>
      </c>
      <c r="G15" s="1" t="s">
        <v>72</v>
      </c>
      <c r="H15" s="1"/>
      <c r="I15" s="1" t="s">
        <v>72</v>
      </c>
      <c r="J15" s="1" t="s">
        <v>72</v>
      </c>
      <c r="K15" s="1" t="s">
        <v>72</v>
      </c>
      <c r="L15" s="1" t="s">
        <v>72</v>
      </c>
      <c r="M15" s="1" t="s">
        <v>72</v>
      </c>
      <c r="N15" s="1" t="s">
        <v>72</v>
      </c>
      <c r="O15" s="1"/>
      <c r="P15" s="1" t="s">
        <v>72</v>
      </c>
      <c r="Q15" s="1" t="s">
        <v>72</v>
      </c>
      <c r="R15" s="1" t="s">
        <v>72</v>
      </c>
      <c r="S15" s="1" t="s">
        <v>72</v>
      </c>
      <c r="T15" s="1" t="s">
        <v>72</v>
      </c>
      <c r="U15" s="1" t="s">
        <v>72</v>
      </c>
      <c r="V15" s="1"/>
      <c r="W15" s="1" t="s">
        <v>72</v>
      </c>
      <c r="X15" s="1" t="s">
        <v>72</v>
      </c>
      <c r="Y15" s="1" t="s">
        <v>72</v>
      </c>
      <c r="Z15" s="1" t="s">
        <v>72</v>
      </c>
      <c r="AA15" s="1" t="s">
        <v>72</v>
      </c>
      <c r="AB15" s="1" t="s">
        <v>72</v>
      </c>
      <c r="AC15" s="1"/>
      <c r="AD15" s="1"/>
      <c r="AE15" s="1"/>
      <c r="AF15" s="1"/>
      <c r="AG15" s="1"/>
      <c r="AH15" s="1"/>
      <c r="AI15" s="3">
        <f>COUNTA(October[[#This Row],[1]:[31]])</f>
        <v>22</v>
      </c>
      <c r="AL15" s="76">
        <f t="shared" si="1"/>
        <v>5990000</v>
      </c>
      <c r="AM15" s="76">
        <v>5500000</v>
      </c>
      <c r="AN15" s="76">
        <f>$AJ$5*October[[#This Row],[Total days]]</f>
        <v>440000</v>
      </c>
      <c r="AO15" s="76">
        <v>50000</v>
      </c>
      <c r="AP15" s="76"/>
      <c r="AQ15" s="76"/>
    </row>
    <row r="16" spans="2:44" ht="32.4" customHeight="1">
      <c r="B16" s="154">
        <v>8</v>
      </c>
      <c r="C16" s="116" t="s">
        <v>122</v>
      </c>
      <c r="D16" s="1" t="s">
        <v>72</v>
      </c>
      <c r="E16" s="1" t="s">
        <v>72</v>
      </c>
      <c r="F16" s="1" t="s">
        <v>72</v>
      </c>
      <c r="G16" s="1" t="s">
        <v>72</v>
      </c>
      <c r="H16" s="1"/>
      <c r="I16" s="1" t="s">
        <v>72</v>
      </c>
      <c r="J16" s="1" t="s">
        <v>72</v>
      </c>
      <c r="K16" s="1" t="s">
        <v>72</v>
      </c>
      <c r="L16" s="1" t="s">
        <v>72</v>
      </c>
      <c r="M16" s="1" t="s">
        <v>72</v>
      </c>
      <c r="N16" s="1" t="s">
        <v>72</v>
      </c>
      <c r="O16" s="1"/>
      <c r="P16" s="1" t="s">
        <v>72</v>
      </c>
      <c r="Q16" s="1" t="s">
        <v>72</v>
      </c>
      <c r="R16" s="1" t="s">
        <v>72</v>
      </c>
      <c r="S16" s="1" t="s">
        <v>72</v>
      </c>
      <c r="T16" s="1" t="s">
        <v>72</v>
      </c>
      <c r="U16" s="1" t="s">
        <v>72</v>
      </c>
      <c r="V16" s="1"/>
      <c r="W16" s="1" t="s">
        <v>72</v>
      </c>
      <c r="X16" s="1" t="s">
        <v>72</v>
      </c>
      <c r="Y16" s="1" t="s">
        <v>72</v>
      </c>
      <c r="Z16" s="1" t="s">
        <v>72</v>
      </c>
      <c r="AA16" s="1" t="s">
        <v>72</v>
      </c>
      <c r="AB16" s="1" t="s">
        <v>72</v>
      </c>
      <c r="AC16" s="1"/>
      <c r="AD16" s="1"/>
      <c r="AE16" s="1"/>
      <c r="AF16" s="1"/>
      <c r="AG16" s="1"/>
      <c r="AH16" s="32"/>
      <c r="AI16" s="3"/>
      <c r="AL16" s="76">
        <f t="shared" si="1"/>
        <v>4000000</v>
      </c>
      <c r="AM16" s="76">
        <v>4000000</v>
      </c>
      <c r="AN16" s="76">
        <f>$AJ$5*October[[#This Row],[Total days]]</f>
        <v>0</v>
      </c>
      <c r="AO16" s="76"/>
      <c r="AP16" s="76"/>
      <c r="AQ16" s="76"/>
    </row>
    <row r="17" spans="2:47" ht="25.8" customHeight="1">
      <c r="B17" s="154">
        <v>9</v>
      </c>
      <c r="C17" s="116" t="s">
        <v>124</v>
      </c>
      <c r="D17" s="1" t="s">
        <v>72</v>
      </c>
      <c r="E17" s="1" t="s">
        <v>72</v>
      </c>
      <c r="F17" s="1" t="s">
        <v>72</v>
      </c>
      <c r="G17" s="1" t="s">
        <v>72</v>
      </c>
      <c r="H17" s="1"/>
      <c r="I17" s="1" t="s">
        <v>72</v>
      </c>
      <c r="J17" s="1" t="s">
        <v>72</v>
      </c>
      <c r="K17" s="1" t="s">
        <v>72</v>
      </c>
      <c r="L17" s="1" t="s">
        <v>72</v>
      </c>
      <c r="M17" s="1" t="s">
        <v>72</v>
      </c>
      <c r="N17" s="1" t="s">
        <v>72</v>
      </c>
      <c r="O17" s="1"/>
      <c r="P17" s="1" t="s">
        <v>72</v>
      </c>
      <c r="Q17" s="1" t="s">
        <v>72</v>
      </c>
      <c r="R17" s="1" t="s">
        <v>72</v>
      </c>
      <c r="S17" s="1" t="s">
        <v>72</v>
      </c>
      <c r="T17" s="1" t="s">
        <v>72</v>
      </c>
      <c r="U17" s="1" t="s">
        <v>72</v>
      </c>
      <c r="V17" s="1"/>
      <c r="W17" s="1" t="s">
        <v>72</v>
      </c>
      <c r="X17" s="1" t="s">
        <v>72</v>
      </c>
      <c r="Y17" s="1" t="s">
        <v>72</v>
      </c>
      <c r="Z17" s="1" t="s">
        <v>72</v>
      </c>
      <c r="AA17" s="1" t="s">
        <v>72</v>
      </c>
      <c r="AB17" s="1" t="s">
        <v>72</v>
      </c>
      <c r="AC17" s="1"/>
      <c r="AD17" s="1"/>
      <c r="AE17" s="1"/>
      <c r="AF17" s="1"/>
      <c r="AG17" s="1"/>
      <c r="AH17" s="32"/>
      <c r="AI17" s="3"/>
      <c r="AL17" s="76">
        <f t="shared" si="1"/>
        <v>7500000</v>
      </c>
      <c r="AM17" s="76">
        <v>7500000</v>
      </c>
      <c r="AN17" s="76">
        <f>$AJ$5*October[[#This Row],[Total days]]</f>
        <v>0</v>
      </c>
      <c r="AO17" s="76"/>
      <c r="AP17" s="76"/>
      <c r="AQ17" s="76"/>
    </row>
    <row r="18" spans="2:47" ht="25.8" customHeight="1">
      <c r="B18" s="154">
        <v>10</v>
      </c>
      <c r="C18" s="116"/>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32"/>
      <c r="AI18" s="3">
        <f>COUNTA(October[[#This Row],[1]:[31]])</f>
        <v>0</v>
      </c>
      <c r="AL18" s="76">
        <f t="shared" si="1"/>
        <v>0</v>
      </c>
      <c r="AM18" s="76"/>
      <c r="AN18" s="76">
        <f>$AJ$5*October[[#This Row],[Total days]]</f>
        <v>0</v>
      </c>
      <c r="AO18" s="76"/>
      <c r="AP18" s="76"/>
      <c r="AQ18" s="76"/>
    </row>
    <row r="19" spans="2:47" ht="25.8" customHeight="1">
      <c r="B19" s="154">
        <v>11</v>
      </c>
      <c r="C19" s="116"/>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32"/>
      <c r="AI19" s="3">
        <f>COUNTA(October[[#This Row],[1]:[31]])</f>
        <v>0</v>
      </c>
      <c r="AL19" s="76">
        <f t="shared" si="1"/>
        <v>0</v>
      </c>
      <c r="AM19" s="76"/>
      <c r="AN19" s="76">
        <f>$AJ$5*October[[#This Row],[Total days]]</f>
        <v>0</v>
      </c>
      <c r="AO19" s="76"/>
      <c r="AP19" s="76"/>
      <c r="AQ19" s="76"/>
    </row>
    <row r="20" spans="2:47" ht="25.8" customHeight="1">
      <c r="B20" s="154">
        <v>12</v>
      </c>
      <c r="C20" s="116"/>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32"/>
      <c r="AI20" s="3">
        <f>COUNTA(October[[#This Row],[1]:[31]])</f>
        <v>0</v>
      </c>
      <c r="AL20" s="76">
        <f t="shared" si="1"/>
        <v>0</v>
      </c>
      <c r="AM20" s="76"/>
      <c r="AN20" s="76">
        <f>$AJ$5*October[[#This Row],[Total days]]</f>
        <v>0</v>
      </c>
      <c r="AO20" s="76"/>
      <c r="AP20" s="76"/>
      <c r="AQ20" s="76"/>
    </row>
    <row r="21" spans="2:47" ht="25.8" customHeight="1">
      <c r="B21" s="154">
        <v>13</v>
      </c>
      <c r="C21" s="116"/>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32"/>
      <c r="AI21" s="3">
        <f>COUNTA(October[[#This Row],[1]:[31]])</f>
        <v>0</v>
      </c>
      <c r="AL21" s="76">
        <f>SUM(AM21:AQ21)</f>
        <v>0</v>
      </c>
      <c r="AM21" s="76"/>
      <c r="AN21" s="76">
        <f>$AJ$5*October[[#This Row],[Total days]]</f>
        <v>0</v>
      </c>
      <c r="AO21" s="76"/>
      <c r="AP21" s="76"/>
      <c r="AQ21" s="76"/>
    </row>
    <row r="22" spans="2:47" ht="25.8" customHeight="1">
      <c r="C22" s="100" t="str">
        <f>MonthName&amp;" Total"</f>
        <v>October Total</v>
      </c>
      <c r="D22" s="4">
        <f>SUBTOTAL(103,October[1])</f>
        <v>9</v>
      </c>
      <c r="E22" s="4">
        <f>SUBTOTAL(103,October[2])</f>
        <v>9</v>
      </c>
      <c r="F22" s="4">
        <f>SUBTOTAL(103,October[3])</f>
        <v>9</v>
      </c>
      <c r="G22" s="4">
        <f>SUBTOTAL(103,October[4])</f>
        <v>9</v>
      </c>
      <c r="H22" s="4">
        <f>SUBTOTAL(103,October[5])</f>
        <v>0</v>
      </c>
      <c r="I22" s="4">
        <f>SUBTOTAL(103,October[6])</f>
        <v>9</v>
      </c>
      <c r="J22" s="4">
        <f>SUBTOTAL(103,October[7])</f>
        <v>9</v>
      </c>
      <c r="K22" s="4">
        <f>SUBTOTAL(103,October[8])</f>
        <v>9</v>
      </c>
      <c r="L22" s="4">
        <f>SUBTOTAL(103,October[9])</f>
        <v>9</v>
      </c>
      <c r="M22" s="4">
        <f>SUBTOTAL(103,October[10])</f>
        <v>9</v>
      </c>
      <c r="N22" s="4">
        <f>SUBTOTAL(103,October[11])</f>
        <v>9</v>
      </c>
      <c r="O22" s="4">
        <f>SUBTOTAL(103,October[12])</f>
        <v>0</v>
      </c>
      <c r="P22" s="4">
        <f>SUBTOTAL(103,October[13])</f>
        <v>9</v>
      </c>
      <c r="Q22" s="4">
        <f>SUBTOTAL(103,October[14])</f>
        <v>9</v>
      </c>
      <c r="R22" s="4">
        <f>SUBTOTAL(103,October[15])</f>
        <v>9</v>
      </c>
      <c r="S22" s="4">
        <f>SUBTOTAL(103,October[16])</f>
        <v>9</v>
      </c>
      <c r="T22" s="4">
        <f>SUBTOTAL(103,October[17])</f>
        <v>9</v>
      </c>
      <c r="U22" s="4">
        <f>SUBTOTAL(103,October[18])</f>
        <v>9</v>
      </c>
      <c r="V22" s="4">
        <f>SUBTOTAL(103,October[19])</f>
        <v>0</v>
      </c>
      <c r="W22" s="4">
        <f>SUBTOTAL(103,October[20])</f>
        <v>9</v>
      </c>
      <c r="X22" s="4">
        <f>SUBTOTAL(103,October[21])</f>
        <v>9</v>
      </c>
      <c r="Y22" s="4">
        <f>SUBTOTAL(103,October[22])</f>
        <v>9</v>
      </c>
      <c r="Z22" s="4">
        <f>SUBTOTAL(103,October[23])</f>
        <v>9</v>
      </c>
      <c r="AA22" s="4">
        <f>SUBTOTAL(103,October[24])</f>
        <v>9</v>
      </c>
      <c r="AB22" s="4">
        <f>SUBTOTAL(103,October[25])</f>
        <v>9</v>
      </c>
      <c r="AC22" s="4">
        <f>SUBTOTAL(103,October[26])</f>
        <v>0</v>
      </c>
      <c r="AD22" s="4">
        <f>SUBTOTAL(103,October[27])</f>
        <v>0</v>
      </c>
      <c r="AE22" s="4">
        <f>SUBTOTAL(103,October[28])</f>
        <v>0</v>
      </c>
      <c r="AF22" s="4">
        <f>SUBTOTAL(103,October[29])</f>
        <v>0</v>
      </c>
      <c r="AG22" s="4">
        <f>SUBTOTAL(109,October[30])</f>
        <v>0</v>
      </c>
      <c r="AH22" s="4">
        <f>SUBTOTAL(109,October[31])</f>
        <v>0</v>
      </c>
      <c r="AI22" s="4">
        <f>SUBTOTAL(109,October[Total days])</f>
        <v>44</v>
      </c>
      <c r="AL22" s="76">
        <f>SUM(AL9:AL21)</f>
        <v>39980000</v>
      </c>
      <c r="AM22" s="76">
        <f t="shared" ref="AM22:AQ22" si="2">SUM(AM9:AM21)</f>
        <v>39000000</v>
      </c>
      <c r="AN22" s="76">
        <f t="shared" si="2"/>
        <v>880000</v>
      </c>
      <c r="AO22" s="76">
        <f t="shared" si="2"/>
        <v>100000</v>
      </c>
      <c r="AP22" s="76">
        <f t="shared" si="2"/>
        <v>0</v>
      </c>
      <c r="AQ22" s="76">
        <f t="shared" si="2"/>
        <v>0</v>
      </c>
    </row>
    <row r="25" spans="2:47" ht="30" customHeight="1">
      <c r="AN25" s="129"/>
      <c r="AO25" s="129"/>
      <c r="AP25" s="129"/>
      <c r="AQ25" s="129"/>
      <c r="AR25" s="129"/>
      <c r="AS25" s="129"/>
      <c r="AT25" s="129"/>
      <c r="AU25" s="129"/>
    </row>
    <row r="26" spans="2:47" ht="30" customHeight="1">
      <c r="AN26" s="129"/>
      <c r="AO26" s="129"/>
      <c r="AP26" s="129"/>
      <c r="AQ26" s="129"/>
      <c r="AR26" s="129"/>
      <c r="AS26" s="129"/>
      <c r="AT26" s="129"/>
      <c r="AU26" s="129"/>
    </row>
    <row r="27" spans="2:47" ht="30" customHeight="1">
      <c r="AO27" s="129"/>
      <c r="AP27" s="129"/>
      <c r="AQ27" s="129"/>
      <c r="AR27" s="129"/>
      <c r="AS27" s="129"/>
      <c r="AT27" s="129"/>
      <c r="AU27" s="129"/>
    </row>
    <row r="28" spans="2:47" ht="30" customHeight="1">
      <c r="AO28" s="129"/>
      <c r="AP28" s="129"/>
      <c r="AQ28" s="129"/>
      <c r="AR28" s="129"/>
      <c r="AS28" s="129"/>
      <c r="AT28" s="129"/>
      <c r="AU28" s="129"/>
    </row>
    <row r="29" spans="2:47" ht="30" customHeight="1">
      <c r="AO29" s="129"/>
      <c r="AP29" s="129"/>
      <c r="AQ29" s="129"/>
      <c r="AR29" s="129"/>
      <c r="AS29" s="129"/>
      <c r="AT29" s="129"/>
      <c r="AU29" s="129"/>
    </row>
    <row r="30" spans="2:47" ht="30" customHeight="1">
      <c r="AO30" s="129"/>
      <c r="AP30" s="129"/>
      <c r="AQ30" s="129"/>
      <c r="AR30" s="129"/>
      <c r="AS30" s="129"/>
      <c r="AT30" s="129"/>
      <c r="AU30" s="129"/>
    </row>
    <row r="31" spans="2:47" ht="30" customHeight="1">
      <c r="AO31" s="129"/>
      <c r="AP31" s="129"/>
      <c r="AQ31" s="129"/>
      <c r="AR31" s="129"/>
      <c r="AS31" s="129"/>
      <c r="AT31" s="129"/>
      <c r="AU31" s="129"/>
    </row>
    <row r="32" spans="2:47" ht="30" customHeight="1">
      <c r="AO32" s="129"/>
      <c r="AP32" s="129"/>
      <c r="AQ32" s="129"/>
      <c r="AR32" s="129"/>
      <c r="AS32" s="129"/>
      <c r="AT32" s="129"/>
      <c r="AU32" s="129"/>
    </row>
    <row r="33" spans="36:47" ht="30" customHeight="1">
      <c r="AO33" s="129"/>
      <c r="AP33" s="129"/>
      <c r="AQ33" s="129"/>
      <c r="AR33" s="129"/>
      <c r="AS33" s="129"/>
      <c r="AT33" s="129"/>
      <c r="AU33" s="129"/>
    </row>
    <row r="34" spans="36:47" ht="30" customHeight="1">
      <c r="AO34" s="129"/>
      <c r="AP34" s="129"/>
      <c r="AQ34" s="129"/>
      <c r="AR34" s="129"/>
      <c r="AS34" s="129"/>
      <c r="AT34" s="129"/>
      <c r="AU34" s="129"/>
    </row>
    <row r="35" spans="36:47" ht="30" customHeight="1">
      <c r="AO35" s="129"/>
      <c r="AP35" s="129"/>
      <c r="AQ35" s="129"/>
      <c r="AR35" s="129"/>
      <c r="AS35" s="129"/>
      <c r="AT35" s="129"/>
      <c r="AU35" s="129"/>
    </row>
    <row r="36" spans="36:47" ht="30" customHeight="1">
      <c r="AO36" s="129"/>
      <c r="AP36" s="129"/>
      <c r="AQ36" s="129"/>
      <c r="AR36" s="129"/>
      <c r="AS36" s="129"/>
      <c r="AT36" s="129"/>
      <c r="AU36" s="129"/>
    </row>
    <row r="37" spans="36:47" ht="30" customHeight="1">
      <c r="AO37" s="129"/>
      <c r="AP37" s="129"/>
      <c r="AQ37" s="129"/>
      <c r="AR37" s="129"/>
      <c r="AS37" s="129"/>
      <c r="AT37" s="129"/>
      <c r="AU37" s="129"/>
    </row>
    <row r="38" spans="36:47" ht="30" customHeight="1">
      <c r="AO38" s="129"/>
      <c r="AP38" s="129"/>
      <c r="AQ38" s="129"/>
      <c r="AR38" s="129"/>
      <c r="AS38" s="129"/>
      <c r="AT38" s="129"/>
      <c r="AU38" s="129"/>
    </row>
    <row r="39" spans="36:47" ht="30" customHeight="1">
      <c r="AJ39" s="129"/>
      <c r="AK39" s="129"/>
      <c r="AL39" s="129"/>
      <c r="AM39" s="129"/>
      <c r="AN39" s="129"/>
      <c r="AO39" s="129"/>
      <c r="AP39" s="129"/>
      <c r="AQ39" s="129"/>
      <c r="AR39" s="129"/>
      <c r="AS39" s="129"/>
      <c r="AT39" s="129"/>
      <c r="AU39" s="129"/>
    </row>
    <row r="40" spans="36:47" ht="30" customHeight="1">
      <c r="AJ40" s="129"/>
      <c r="AK40" s="129"/>
      <c r="AL40" s="129"/>
      <c r="AM40" s="129"/>
      <c r="AN40" s="129"/>
      <c r="AO40" s="129"/>
      <c r="AP40" s="129"/>
      <c r="AQ40" s="129"/>
      <c r="AR40" s="129"/>
      <c r="AS40" s="129"/>
      <c r="AT40" s="129"/>
      <c r="AU40" s="129"/>
    </row>
    <row r="41" spans="36:47" ht="30" customHeight="1">
      <c r="AJ41" s="129"/>
      <c r="AK41" s="129"/>
      <c r="AL41" s="129"/>
      <c r="AM41" s="129"/>
      <c r="AN41" s="129"/>
      <c r="AO41" s="129"/>
      <c r="AP41" s="129"/>
      <c r="AQ41" s="129"/>
      <c r="AR41" s="129"/>
      <c r="AS41" s="129"/>
      <c r="AT41" s="129"/>
      <c r="AU41" s="129"/>
    </row>
    <row r="42" spans="36:47" ht="30" customHeight="1">
      <c r="AJ42" s="129"/>
      <c r="AK42" s="129"/>
      <c r="AL42" s="129"/>
      <c r="AM42" s="129"/>
      <c r="AN42" s="129"/>
      <c r="AO42" s="129"/>
      <c r="AP42" s="129"/>
      <c r="AQ42" s="129"/>
      <c r="AR42" s="129"/>
      <c r="AS42" s="129"/>
      <c r="AT42" s="129"/>
      <c r="AU42" s="129"/>
    </row>
    <row r="43" spans="36:47" ht="30" customHeight="1">
      <c r="AJ43" s="129"/>
      <c r="AK43" s="129"/>
      <c r="AL43" s="129"/>
      <c r="AM43" s="129"/>
      <c r="AN43" s="129"/>
      <c r="AO43" s="129"/>
      <c r="AP43" s="129"/>
      <c r="AQ43" s="129"/>
      <c r="AR43" s="129"/>
      <c r="AS43" s="129"/>
      <c r="AT43" s="129"/>
      <c r="AU43" s="129"/>
    </row>
    <row r="44" spans="36:47" ht="30" customHeight="1">
      <c r="AJ44" s="129"/>
      <c r="AK44" s="129"/>
      <c r="AL44" s="129"/>
      <c r="AM44" s="129"/>
      <c r="AN44" s="129"/>
      <c r="AO44" s="129"/>
      <c r="AP44" s="129"/>
      <c r="AQ44" s="129"/>
      <c r="AR44" s="129"/>
      <c r="AS44" s="129"/>
      <c r="AT44" s="129"/>
      <c r="AU44" s="129"/>
    </row>
    <row r="45" spans="36:47" ht="30" customHeight="1">
      <c r="AJ45" s="129"/>
      <c r="AK45" s="129"/>
      <c r="AL45" s="129"/>
      <c r="AM45" s="129"/>
      <c r="AN45" s="129"/>
      <c r="AO45" s="129"/>
      <c r="AP45" s="129"/>
      <c r="AQ45" s="129"/>
      <c r="AR45" s="129"/>
      <c r="AS45" s="129"/>
      <c r="AT45" s="129"/>
      <c r="AU45" s="129"/>
    </row>
    <row r="46" spans="36:47" ht="30" customHeight="1">
      <c r="AJ46" s="129"/>
      <c r="AK46" s="129"/>
      <c r="AL46" s="129"/>
      <c r="AM46" s="129"/>
      <c r="AN46" s="129"/>
      <c r="AO46" s="129"/>
      <c r="AP46" s="129"/>
      <c r="AQ46" s="129"/>
      <c r="AR46" s="129"/>
      <c r="AS46" s="129"/>
      <c r="AT46" s="129"/>
      <c r="AU46" s="129"/>
    </row>
  </sheetData>
  <mergeCells count="12">
    <mergeCell ref="AQ6:AR7"/>
    <mergeCell ref="D6:AH6"/>
    <mergeCell ref="E4:G4"/>
    <mergeCell ref="M4:O4"/>
    <mergeCell ref="Q4:S4"/>
    <mergeCell ref="U4:W4"/>
    <mergeCell ref="I5:K5"/>
    <mergeCell ref="M5:O5"/>
    <mergeCell ref="Q5:S5"/>
    <mergeCell ref="U5:W5"/>
    <mergeCell ref="X5:AC5"/>
    <mergeCell ref="AD5:AI5"/>
  </mergeCells>
  <conditionalFormatting sqref="D9:D12 F9:AH21 D13:E13 D14:D15">
    <cfRule type="expression" priority="37" stopIfTrue="1">
      <formula>D9=""</formula>
    </cfRule>
    <cfRule type="expression" dxfId="899" priority="38" stopIfTrue="1">
      <formula>D9=KeyCustom2</formula>
    </cfRule>
    <cfRule type="expression" dxfId="898" priority="39" stopIfTrue="1">
      <formula>D9=KeyCustom1</formula>
    </cfRule>
    <cfRule type="expression" dxfId="897" priority="40" stopIfTrue="1">
      <formula>D9=KeySick</formula>
    </cfRule>
    <cfRule type="expression" dxfId="896" priority="41" stopIfTrue="1">
      <formula>D9=KeyPersonal</formula>
    </cfRule>
    <cfRule type="expression" dxfId="895" priority="42" stopIfTrue="1">
      <formula>D9=KeyVacation</formula>
    </cfRule>
  </conditionalFormatting>
  <conditionalFormatting sqref="E9:E12">
    <cfRule type="expression" priority="1" stopIfTrue="1">
      <formula>E9=""</formula>
    </cfRule>
    <cfRule type="expression" dxfId="894" priority="2" stopIfTrue="1">
      <formula>E9=KeyCustom2</formula>
    </cfRule>
    <cfRule type="expression" dxfId="893" priority="3" stopIfTrue="1">
      <formula>E9=KeyCustom1</formula>
    </cfRule>
    <cfRule type="expression" dxfId="892" priority="4" stopIfTrue="1">
      <formula>E9=KeySick</formula>
    </cfRule>
    <cfRule type="expression" dxfId="891" priority="5" stopIfTrue="1">
      <formula>E9=KeyPersonal</formula>
    </cfRule>
    <cfRule type="expression" dxfId="890" priority="6" stopIfTrue="1">
      <formula>E9=KeyVacation</formula>
    </cfRule>
  </conditionalFormatting>
  <conditionalFormatting sqref="E14:E15">
    <cfRule type="expression" priority="7" stopIfTrue="1">
      <formula>E14=""</formula>
    </cfRule>
    <cfRule type="expression" dxfId="889" priority="8" stopIfTrue="1">
      <formula>E14=KeyCustom2</formula>
    </cfRule>
    <cfRule type="expression" dxfId="888" priority="9" stopIfTrue="1">
      <formula>E14=KeyCustom1</formula>
    </cfRule>
    <cfRule type="expression" dxfId="887" priority="10" stopIfTrue="1">
      <formula>E14=KeySick</formula>
    </cfRule>
    <cfRule type="expression" dxfId="886" priority="11" stopIfTrue="1">
      <formula>E14=KeyPersonal</formula>
    </cfRule>
    <cfRule type="expression" dxfId="885" priority="12" stopIfTrue="1">
      <formula>E14=KeyVacation</formula>
    </cfRule>
  </conditionalFormatting>
  <conditionalFormatting sqref="AI9:AI21">
    <cfRule type="dataBar" priority="43">
      <dataBar>
        <cfvo type="min"/>
        <cfvo type="formula" val="DATEDIF(DATE(CalendarYear,2,1),DATE(CalendarYear,3,1),&quot;d&quot;)"/>
        <color theme="2" tint="-0.249977111117893"/>
      </dataBar>
      <extLst>
        <ext xmlns:x14="http://schemas.microsoft.com/office/spreadsheetml/2009/9/main" uri="{B025F937-C7B1-47D3-B67F-A62EFF666E3E}">
          <x14:id>{F32A08EA-50E8-4B5F-AB1F-5A7739FBC16C}</x14:id>
        </ext>
      </extLst>
    </cfRule>
  </conditionalFormatting>
  <dataValidations count="13">
    <dataValidation allowBlank="1" showInputMessage="1" showErrorMessage="1" prompt="Weekdays in this row are automatically updated for the month according to the year in AH4. Each day of the month is a column to note an employee's absence and absence type" sqref="D7"/>
    <dataValidation allowBlank="1" showInputMessage="1" showErrorMessage="1" prompt="Automatically updated year based on year entered in January worksheet" sqref="AI6"/>
    <dataValidation allowBlank="1" showInputMessage="1" showErrorMessage="1" prompt="Automatically calculates total number of days an employee was absent this month in this column" sqref="AI8"/>
    <dataValidation allowBlank="1" showInputMessage="1" showErrorMessage="1" prompt="Track October absence in this worksheet" sqref="B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C8"/>
    <dataValidation allowBlank="1" showInputMessage="1" showErrorMessage="1" prompt="The letter &quot;V&quot; indicates absence due to vacation" sqref="D4"/>
    <dataValidation allowBlank="1" showInputMessage="1" showErrorMessage="1" prompt="The letter &quot;P&quot; indicates absence due to personal reasons" sqref="H4"/>
    <dataValidation allowBlank="1" showInputMessage="1" showErrorMessage="1" prompt="The letter &quot;S&quot; indicates absence due to illness" sqref="L4 P4 T4"/>
    <dataValidation allowBlank="1" showInputMessage="1" showErrorMessage="1" prompt="Enter a label to describe the custom key at left" sqref="I4:K4"/>
    <dataValidation allowBlank="1" showInputMessage="1" showErrorMessage="1" prompt="Month name for this absence schedule is in this cell. Absence totals for this month are in last cell of the table. Select employee names in table column B" sqref="C2"/>
    <dataValidation allowBlank="1" showInputMessage="1" showErrorMessage="1" prompt="Days of the month in this row are automatically generated. Enter an employee's absence and absence type in each column for each day of the month. Blank means no absence" sqref="D8"/>
    <dataValidation allowBlank="1" showInputMessage="1" showErrorMessage="1" prompt="This row defines the keys used in the table: cell C4 is Vacation, G4 is Personal, &amp; K4 is Sick leave. Cells N4 &amp; R4 are customizable " sqref="C4"/>
    <dataValidation allowBlank="1" showInputMessage="1" showErrorMessage="1" prompt="Title of the worksheet is in this cell. " sqref="C1"/>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32A08EA-50E8-4B5F-AB1F-5A7739FBC16C}">
            <x14:dataBar minLength="0" maxLength="100">
              <x14:cfvo type="autoMin"/>
              <x14:cfvo type="formula">
                <xm:f>DATEDIF(DATE(CalendarYear,2,1),DATE(CalendarYear,3,1),"d")</xm:f>
              </x14:cfvo>
              <x14:negativeFillColor rgb="FFFF0000"/>
              <x14:axisColor rgb="FF000000"/>
            </x14:dataBar>
          </x14:cfRule>
          <xm:sqref>AI9:AI21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names'!$C$5:$C$23</xm:f>
          </x14:formula1>
          <xm:sqref>C9:C21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AW50"/>
  <sheetViews>
    <sheetView showGridLines="0" topLeftCell="A22" zoomScale="59" zoomScaleNormal="70" workbookViewId="0">
      <selection activeCell="U34" sqref="U34:Z34"/>
    </sheetView>
  </sheetViews>
  <sheetFormatPr defaultColWidth="8.77734375" defaultRowHeight="30" customHeight="1"/>
  <cols>
    <col min="1" max="1" width="3.44140625" customWidth="1"/>
    <col min="2" max="2" width="4" style="158" customWidth="1"/>
    <col min="3" max="3" width="46.5546875" customWidth="1"/>
    <col min="4" max="34" width="4.6640625" customWidth="1"/>
    <col min="35" max="35" width="9.6640625" customWidth="1"/>
    <col min="36" max="36" width="13" customWidth="1"/>
    <col min="37" max="37" width="1" customWidth="1"/>
    <col min="38" max="38" width="21.5546875" bestFit="1" customWidth="1"/>
    <col min="39" max="39" width="15.5546875" customWidth="1"/>
    <col min="40" max="40" width="20.44140625" customWidth="1"/>
    <col min="41" max="41" width="13.6640625" customWidth="1"/>
    <col min="42" max="43" width="13" customWidth="1"/>
    <col min="44" max="44" width="12.88671875" customWidth="1"/>
    <col min="45" max="45" width="13.109375" customWidth="1"/>
    <col min="46" max="46" width="18" style="177" customWidth="1"/>
  </cols>
  <sheetData>
    <row r="1" spans="1:46" s="158" customFormat="1" ht="33" customHeight="1">
      <c r="C1" s="154"/>
      <c r="D1" s="45" t="s">
        <v>53</v>
      </c>
      <c r="AT1" s="177"/>
    </row>
    <row r="2" spans="1:46" s="158" customFormat="1" ht="37.200000000000003" customHeight="1">
      <c r="C2" s="154"/>
      <c r="D2" s="159" t="s">
        <v>50</v>
      </c>
      <c r="AT2" s="177"/>
    </row>
    <row r="3" spans="1:46" s="158" customFormat="1" ht="15" customHeight="1" thickBot="1">
      <c r="B3" s="154"/>
      <c r="C3" s="160"/>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T3" s="177"/>
    </row>
    <row r="4" spans="1:46" s="158" customFormat="1" ht="14.4" customHeight="1">
      <c r="B4" s="154"/>
      <c r="C4" s="7" t="s">
        <v>54</v>
      </c>
      <c r="D4" s="162" t="s">
        <v>32</v>
      </c>
      <c r="E4" s="310" t="s">
        <v>37</v>
      </c>
      <c r="F4" s="310"/>
      <c r="G4" s="311"/>
      <c r="H4" s="163" t="s">
        <v>74</v>
      </c>
      <c r="I4" s="164" t="s">
        <v>73</v>
      </c>
      <c r="J4" s="164"/>
      <c r="K4" s="165"/>
      <c r="L4" s="166" t="s">
        <v>31</v>
      </c>
      <c r="M4" s="312" t="s">
        <v>75</v>
      </c>
      <c r="N4" s="312"/>
      <c r="O4" s="313"/>
      <c r="P4" s="166"/>
      <c r="Q4" s="312"/>
      <c r="R4" s="312"/>
      <c r="S4" s="313"/>
      <c r="T4" s="166"/>
      <c r="U4" s="312"/>
      <c r="V4" s="312"/>
      <c r="W4" s="312"/>
      <c r="X4" s="167" t="s">
        <v>86</v>
      </c>
      <c r="Y4" s="168"/>
      <c r="Z4" s="168"/>
      <c r="AA4" s="168"/>
      <c r="AB4" s="168"/>
      <c r="AC4" s="169"/>
      <c r="AD4" s="167" t="s">
        <v>88</v>
      </c>
      <c r="AE4" s="168"/>
      <c r="AF4" s="168"/>
      <c r="AG4" s="168"/>
      <c r="AH4" s="168"/>
      <c r="AI4" s="168"/>
      <c r="AJ4" s="170" t="s">
        <v>89</v>
      </c>
      <c r="AT4" s="177"/>
    </row>
    <row r="5" spans="1:46" s="158" customFormat="1" ht="15" customHeight="1" thickBot="1">
      <c r="B5" s="154"/>
      <c r="C5" s="171"/>
      <c r="D5" s="172"/>
      <c r="E5" s="173"/>
      <c r="F5" s="173"/>
      <c r="G5" s="174"/>
      <c r="H5" s="172"/>
      <c r="I5" s="314"/>
      <c r="J5" s="314"/>
      <c r="K5" s="315"/>
      <c r="L5" s="172"/>
      <c r="M5" s="314"/>
      <c r="N5" s="314"/>
      <c r="O5" s="315"/>
      <c r="P5" s="172"/>
      <c r="Q5" s="314"/>
      <c r="R5" s="314"/>
      <c r="S5" s="315"/>
      <c r="T5" s="172"/>
      <c r="U5" s="316">
        <f>4500000/AI9</f>
        <v>214285.71428571429</v>
      </c>
      <c r="V5" s="316"/>
      <c r="W5" s="316"/>
      <c r="X5" s="317"/>
      <c r="Y5" s="318"/>
      <c r="Z5" s="318"/>
      <c r="AA5" s="318"/>
      <c r="AB5" s="318"/>
      <c r="AC5" s="319"/>
      <c r="AD5" s="320">
        <f>X5/June[[#Totals],[Working Day]]</f>
        <v>0</v>
      </c>
      <c r="AE5" s="321"/>
      <c r="AF5" s="321"/>
      <c r="AG5" s="321"/>
      <c r="AH5" s="321"/>
      <c r="AI5" s="321"/>
      <c r="AJ5" s="175">
        <v>20000</v>
      </c>
      <c r="AT5" s="177"/>
    </row>
    <row r="6" spans="1:46" s="158" customFormat="1" ht="29.4" customHeight="1">
      <c r="C6" s="154"/>
      <c r="D6" s="176"/>
      <c r="E6" s="309" t="s">
        <v>55</v>
      </c>
      <c r="F6" s="309"/>
      <c r="G6" s="309"/>
      <c r="H6" s="309"/>
      <c r="I6" s="309"/>
      <c r="J6" s="309"/>
      <c r="K6" s="309"/>
      <c r="L6" s="309"/>
      <c r="M6" s="309"/>
      <c r="N6" s="309"/>
      <c r="O6" s="309"/>
      <c r="P6" s="309"/>
      <c r="Q6" s="309"/>
      <c r="R6" s="309"/>
      <c r="S6" s="309"/>
      <c r="T6" s="309"/>
      <c r="U6" s="309"/>
      <c r="V6" s="309"/>
      <c r="W6" s="309"/>
      <c r="X6" s="309"/>
      <c r="Y6" s="309"/>
      <c r="Z6" s="309"/>
      <c r="AA6" s="309"/>
      <c r="AB6" s="309"/>
      <c r="AC6" s="309"/>
      <c r="AD6" s="309"/>
      <c r="AE6" s="309"/>
      <c r="AF6" s="309"/>
      <c r="AG6" s="309"/>
      <c r="AH6" s="309"/>
      <c r="AI6" s="309"/>
      <c r="AJ6" s="176">
        <f ca="1">CalendarYear</f>
        <v>2026</v>
      </c>
      <c r="AS6" s="289"/>
      <c r="AT6" s="289"/>
    </row>
    <row r="7" spans="1:46" ht="30" customHeight="1">
      <c r="C7" s="6"/>
      <c r="D7" s="21" t="str">
        <f ca="1">TEXT(WEEKDAY(DATE(CalendarYear,11,1),1),"aaa")</f>
        <v>Sun</v>
      </c>
      <c r="E7" s="21" t="str">
        <f ca="1">TEXT(WEEKDAY(DATE(CalendarYear,11,2),1),"aaa")</f>
        <v>Mon</v>
      </c>
      <c r="F7" s="21" t="str">
        <f ca="1">TEXT(WEEKDAY(DATE(CalendarYear,11,3),1),"aaa")</f>
        <v>Tue</v>
      </c>
      <c r="G7" s="21" t="str">
        <f ca="1">TEXT(WEEKDAY(DATE(CalendarYear,11,4),1),"aaa")</f>
        <v>Wed</v>
      </c>
      <c r="H7" s="21" t="str">
        <f ca="1">TEXT(WEEKDAY(DATE(CalendarYear,11,5),1),"aaa")</f>
        <v>Thu</v>
      </c>
      <c r="I7" s="21" t="str">
        <f ca="1">TEXT(WEEKDAY(DATE(CalendarYear,11,6),1),"aaa")</f>
        <v>Fri</v>
      </c>
      <c r="J7" s="21" t="str">
        <f ca="1">TEXT(WEEKDAY(DATE(CalendarYear,11,7),1),"aaa")</f>
        <v>Sat</v>
      </c>
      <c r="K7" s="21" t="str">
        <f ca="1">TEXT(WEEKDAY(DATE(CalendarYear,11,8),1),"aaa")</f>
        <v>Sun</v>
      </c>
      <c r="L7" s="21" t="str">
        <f ca="1">TEXT(WEEKDAY(DATE(CalendarYear,11,9),1),"aaa")</f>
        <v>Mon</v>
      </c>
      <c r="M7" s="21" t="str">
        <f ca="1">TEXT(WEEKDAY(DATE(CalendarYear,11,10),1),"aaa")</f>
        <v>Tue</v>
      </c>
      <c r="N7" s="21" t="str">
        <f ca="1">TEXT(WEEKDAY(DATE(CalendarYear,11,11),1),"aaa")</f>
        <v>Wed</v>
      </c>
      <c r="O7" s="21" t="str">
        <f ca="1">TEXT(WEEKDAY(DATE(CalendarYear,11,12),1),"aaa")</f>
        <v>Thu</v>
      </c>
      <c r="P7" s="21" t="str">
        <f ca="1">TEXT(WEEKDAY(DATE(CalendarYear,11,13),1),"aaa")</f>
        <v>Fri</v>
      </c>
      <c r="Q7" s="21" t="str">
        <f ca="1">TEXT(WEEKDAY(DATE(CalendarYear,11,14),1),"aaa")</f>
        <v>Sat</v>
      </c>
      <c r="R7" s="21" t="str">
        <f ca="1">TEXT(WEEKDAY(DATE(CalendarYear,11,15),1),"aaa")</f>
        <v>Sun</v>
      </c>
      <c r="S7" s="21" t="str">
        <f ca="1">TEXT(WEEKDAY(DATE(CalendarYear,11,16),1),"aaa")</f>
        <v>Mon</v>
      </c>
      <c r="T7" s="21" t="str">
        <f ca="1">TEXT(WEEKDAY(DATE(CalendarYear,11,17),1),"aaa")</f>
        <v>Tue</v>
      </c>
      <c r="U7" s="21" t="str">
        <f ca="1">TEXT(WEEKDAY(DATE(CalendarYear,11,18),1),"aaa")</f>
        <v>Wed</v>
      </c>
      <c r="V7" s="21" t="str">
        <f ca="1">TEXT(WEEKDAY(DATE(CalendarYear,11,19),1),"aaa")</f>
        <v>Thu</v>
      </c>
      <c r="W7" s="21" t="str">
        <f ca="1">TEXT(WEEKDAY(DATE(CalendarYear,11,20),1),"aaa")</f>
        <v>Fri</v>
      </c>
      <c r="X7" s="21" t="str">
        <f ca="1">TEXT(WEEKDAY(DATE(CalendarYear,11,21),1),"aaa")</f>
        <v>Sat</v>
      </c>
      <c r="Y7" s="21" t="str">
        <f ca="1">TEXT(WEEKDAY(DATE(CalendarYear,11,22),1),"aaa")</f>
        <v>Sun</v>
      </c>
      <c r="Z7" s="21" t="str">
        <f ca="1">TEXT(WEEKDAY(DATE(CalendarYear,11,23),1),"aaa")</f>
        <v>Mon</v>
      </c>
      <c r="AA7" s="21" t="str">
        <f ca="1">TEXT(WEEKDAY(DATE(CalendarYear,11,24),1),"aaa")</f>
        <v>Tue</v>
      </c>
      <c r="AB7" s="21" t="str">
        <f ca="1">TEXT(WEEKDAY(DATE(CalendarYear,11,25),1),"aaa")</f>
        <v>Wed</v>
      </c>
      <c r="AC7" s="21" t="str">
        <f ca="1">TEXT(WEEKDAY(DATE(CalendarYear,11,26),1),"aaa")</f>
        <v>Thu</v>
      </c>
      <c r="AD7" s="21" t="str">
        <f ca="1">TEXT(WEEKDAY(DATE(CalendarYear,11,27),1),"aaa")</f>
        <v>Fri</v>
      </c>
      <c r="AE7" s="21" t="str">
        <f ca="1">TEXT(WEEKDAY(DATE(CalendarYear,11,28),1),"aaa")</f>
        <v>Sat</v>
      </c>
      <c r="AF7" s="21" t="str">
        <f ca="1">TEXT(WEEKDAY(DATE(CalendarYear,11,29),1),"aaa")</f>
        <v>Sun</v>
      </c>
      <c r="AG7" s="21" t="str">
        <f ca="1">TEXT(WEEKDAY(DATE(CalendarYear,11,30),1),"aaa")</f>
        <v>Mon</v>
      </c>
      <c r="AH7" s="21"/>
      <c r="AI7" s="6"/>
      <c r="AS7" s="289"/>
      <c r="AT7" s="289"/>
    </row>
    <row r="8" spans="1:46" ht="30" customHeight="1">
      <c r="B8" s="158" t="s">
        <v>115</v>
      </c>
      <c r="C8" s="20" t="s">
        <v>61</v>
      </c>
      <c r="D8" s="1" t="s">
        <v>0</v>
      </c>
      <c r="E8" s="112" t="s">
        <v>1</v>
      </c>
      <c r="F8" s="1" t="s">
        <v>2</v>
      </c>
      <c r="G8" s="1" t="s">
        <v>3</v>
      </c>
      <c r="H8" s="1" t="s">
        <v>4</v>
      </c>
      <c r="I8" s="1" t="s">
        <v>5</v>
      </c>
      <c r="J8" s="1" t="s">
        <v>6</v>
      </c>
      <c r="K8" s="1" t="s">
        <v>7</v>
      </c>
      <c r="L8" s="112" t="s">
        <v>8</v>
      </c>
      <c r="M8" s="1" t="s">
        <v>9</v>
      </c>
      <c r="N8" s="1" t="s">
        <v>10</v>
      </c>
      <c r="O8" s="1" t="s">
        <v>11</v>
      </c>
      <c r="P8" s="1" t="s">
        <v>12</v>
      </c>
      <c r="Q8" s="1" t="s">
        <v>13</v>
      </c>
      <c r="R8" s="1" t="s">
        <v>14</v>
      </c>
      <c r="S8" s="112" t="s">
        <v>15</v>
      </c>
      <c r="T8" s="1" t="s">
        <v>16</v>
      </c>
      <c r="U8" s="1" t="s">
        <v>17</v>
      </c>
      <c r="V8" s="1" t="s">
        <v>18</v>
      </c>
      <c r="W8" s="1" t="s">
        <v>19</v>
      </c>
      <c r="X8" s="1" t="s">
        <v>20</v>
      </c>
      <c r="Y8" s="1" t="s">
        <v>21</v>
      </c>
      <c r="Z8" s="112" t="s">
        <v>22</v>
      </c>
      <c r="AA8" s="1" t="s">
        <v>23</v>
      </c>
      <c r="AB8" s="1" t="s">
        <v>24</v>
      </c>
      <c r="AC8" s="1" t="s">
        <v>25</v>
      </c>
      <c r="AD8" s="1" t="s">
        <v>26</v>
      </c>
      <c r="AE8" s="1" t="s">
        <v>27</v>
      </c>
      <c r="AF8" s="1" t="s">
        <v>28</v>
      </c>
      <c r="AG8" s="112" t="s">
        <v>29</v>
      </c>
      <c r="AH8" s="1" t="s">
        <v>33</v>
      </c>
      <c r="AI8" s="22" t="s">
        <v>62</v>
      </c>
      <c r="AL8" s="201" t="s">
        <v>87</v>
      </c>
      <c r="AM8" s="53" t="s">
        <v>76</v>
      </c>
      <c r="AN8" s="223" t="s">
        <v>184</v>
      </c>
      <c r="AO8" s="54" t="s">
        <v>77</v>
      </c>
      <c r="AP8" s="54" t="s">
        <v>78</v>
      </c>
      <c r="AQ8" s="206" t="s">
        <v>81</v>
      </c>
      <c r="AR8" s="126" t="s">
        <v>99</v>
      </c>
      <c r="AS8" s="73" t="s">
        <v>85</v>
      </c>
    </row>
    <row r="9" spans="1:46" ht="30" customHeight="1">
      <c r="B9" s="158">
        <v>1</v>
      </c>
      <c r="C9" s="2" t="s">
        <v>116</v>
      </c>
      <c r="D9" s="1"/>
      <c r="E9" s="1"/>
      <c r="F9" s="1" t="s">
        <v>72</v>
      </c>
      <c r="G9" s="1" t="s">
        <v>72</v>
      </c>
      <c r="H9" s="1" t="s">
        <v>72</v>
      </c>
      <c r="I9" s="1" t="s">
        <v>72</v>
      </c>
      <c r="J9" s="1" t="s">
        <v>72</v>
      </c>
      <c r="K9" s="190" t="s">
        <v>72</v>
      </c>
      <c r="L9" s="190" t="s">
        <v>72</v>
      </c>
      <c r="M9" s="1" t="s">
        <v>72</v>
      </c>
      <c r="N9" s="1" t="s">
        <v>72</v>
      </c>
      <c r="O9" s="1" t="s">
        <v>72</v>
      </c>
      <c r="P9" s="1" t="s">
        <v>72</v>
      </c>
      <c r="Q9" s="1" t="s">
        <v>72</v>
      </c>
      <c r="R9" s="190" t="s">
        <v>72</v>
      </c>
      <c r="S9" s="1"/>
      <c r="T9" s="1" t="s">
        <v>72</v>
      </c>
      <c r="U9" s="205" t="s">
        <v>72</v>
      </c>
      <c r="V9" s="207" t="s">
        <v>72</v>
      </c>
      <c r="W9" s="207" t="s">
        <v>72</v>
      </c>
      <c r="X9" s="207" t="s">
        <v>72</v>
      </c>
      <c r="Y9" s="210" t="s">
        <v>72</v>
      </c>
      <c r="Z9" s="1"/>
      <c r="AA9" s="210" t="s">
        <v>72</v>
      </c>
      <c r="AB9" s="222" t="s">
        <v>72</v>
      </c>
      <c r="AC9" s="225"/>
      <c r="AD9" s="225"/>
      <c r="AE9" s="225"/>
      <c r="AF9" s="225"/>
      <c r="AG9" s="1"/>
      <c r="AH9" s="1"/>
      <c r="AI9" s="3">
        <f>COUNTA(November[[#This Row],[1]:[ ]])</f>
        <v>21</v>
      </c>
      <c r="AL9" s="202">
        <f t="shared" ref="AL9:AL13" si="0">SUM(AM9:AU9)</f>
        <v>10000000</v>
      </c>
      <c r="AM9" s="76">
        <v>10000000</v>
      </c>
      <c r="AN9" s="76"/>
      <c r="AO9" s="76" t="s">
        <v>33</v>
      </c>
      <c r="AP9" s="76"/>
      <c r="AQ9" s="76"/>
      <c r="AR9" s="76"/>
      <c r="AS9" s="76"/>
      <c r="AT9" s="193" t="s">
        <v>127</v>
      </c>
    </row>
    <row r="10" spans="1:46" ht="30" hidden="1" customHeight="1">
      <c r="B10" s="158">
        <v>2</v>
      </c>
      <c r="C10" s="2"/>
      <c r="D10" s="188"/>
      <c r="E10" s="188"/>
      <c r="F10" s="188"/>
      <c r="G10" s="188"/>
      <c r="H10" s="188"/>
      <c r="I10" s="188"/>
      <c r="J10" s="188"/>
      <c r="K10" s="188"/>
      <c r="L10" s="188"/>
      <c r="M10" s="188"/>
      <c r="N10" s="188"/>
      <c r="O10" s="188"/>
      <c r="P10" s="188"/>
      <c r="Q10" s="188"/>
      <c r="R10" s="188"/>
      <c r="S10" s="188"/>
      <c r="T10" s="188"/>
      <c r="U10" s="205"/>
      <c r="V10" s="207"/>
      <c r="W10" s="207"/>
      <c r="X10" s="207"/>
      <c r="Y10" s="210"/>
      <c r="Z10" s="1"/>
      <c r="AA10" s="210"/>
      <c r="AB10" s="222"/>
      <c r="AC10" s="225"/>
      <c r="AD10" s="225"/>
      <c r="AE10" s="225"/>
      <c r="AF10" s="225"/>
      <c r="AG10" s="1"/>
      <c r="AH10" s="1"/>
      <c r="AI10" s="3">
        <f>COUNTA(November[[#This Row],[1]:[ ]])</f>
        <v>0</v>
      </c>
      <c r="AL10" s="202">
        <f t="shared" si="0"/>
        <v>0</v>
      </c>
      <c r="AM10" s="76">
        <v>0</v>
      </c>
      <c r="AN10" s="76"/>
      <c r="AO10" s="76">
        <f>$AJ$5*October[[#This Row],[Total days]]</f>
        <v>0</v>
      </c>
      <c r="AP10" s="76"/>
      <c r="AQ10" s="76"/>
      <c r="AR10" s="76"/>
      <c r="AS10" s="76"/>
      <c r="AT10" s="193" t="s">
        <v>134</v>
      </c>
    </row>
    <row r="11" spans="1:46" ht="30" customHeight="1">
      <c r="B11" s="158">
        <v>2</v>
      </c>
      <c r="C11" s="2" t="s">
        <v>117</v>
      </c>
      <c r="D11" s="188"/>
      <c r="E11" s="188"/>
      <c r="F11" s="188" t="s">
        <v>72</v>
      </c>
      <c r="G11" s="188" t="s">
        <v>72</v>
      </c>
      <c r="H11" s="188" t="s">
        <v>72</v>
      </c>
      <c r="I11" s="188" t="s">
        <v>72</v>
      </c>
      <c r="J11" s="188" t="s">
        <v>72</v>
      </c>
      <c r="K11" s="190" t="s">
        <v>72</v>
      </c>
      <c r="L11" s="188"/>
      <c r="M11" s="188" t="s">
        <v>72</v>
      </c>
      <c r="N11" s="188" t="s">
        <v>72</v>
      </c>
      <c r="O11" s="188" t="s">
        <v>72</v>
      </c>
      <c r="P11" s="188" t="s">
        <v>72</v>
      </c>
      <c r="Q11" s="188" t="s">
        <v>72</v>
      </c>
      <c r="R11" s="190" t="s">
        <v>72</v>
      </c>
      <c r="S11" s="188"/>
      <c r="T11" s="188" t="s">
        <v>72</v>
      </c>
      <c r="U11" s="205" t="s">
        <v>72</v>
      </c>
      <c r="V11" s="207" t="s">
        <v>72</v>
      </c>
      <c r="W11" s="207" t="s">
        <v>72</v>
      </c>
      <c r="X11" s="207" t="s">
        <v>72</v>
      </c>
      <c r="Y11" s="210" t="s">
        <v>72</v>
      </c>
      <c r="Z11" s="1"/>
      <c r="AA11" s="210" t="s">
        <v>72</v>
      </c>
      <c r="AB11" s="222" t="s">
        <v>72</v>
      </c>
      <c r="AC11" s="225"/>
      <c r="AD11" s="225"/>
      <c r="AE11" s="225"/>
      <c r="AF11" s="225"/>
      <c r="AG11" s="1"/>
      <c r="AH11" s="1"/>
      <c r="AI11" s="3">
        <f>COUNTA(November[[#This Row],[1]:[ ]])</f>
        <v>20</v>
      </c>
      <c r="AL11" s="202">
        <f t="shared" si="0"/>
        <v>5000000</v>
      </c>
      <c r="AM11" s="76">
        <v>5000000</v>
      </c>
      <c r="AN11" s="76"/>
      <c r="AO11" s="76">
        <f>$AJ$5*October[[#This Row],[Total days]]</f>
        <v>0</v>
      </c>
      <c r="AP11" s="76"/>
      <c r="AQ11" s="76"/>
      <c r="AR11" s="76"/>
      <c r="AS11" s="76"/>
      <c r="AT11" s="193" t="s">
        <v>135</v>
      </c>
    </row>
    <row r="12" spans="1:46" ht="30" customHeight="1">
      <c r="B12" s="158">
        <v>3</v>
      </c>
      <c r="C12" s="2" t="s">
        <v>118</v>
      </c>
      <c r="D12" s="188"/>
      <c r="E12" s="188"/>
      <c r="F12" s="188" t="s">
        <v>72</v>
      </c>
      <c r="G12" s="188" t="s">
        <v>72</v>
      </c>
      <c r="H12" s="188" t="s">
        <v>72</v>
      </c>
      <c r="I12" s="188" t="s">
        <v>72</v>
      </c>
      <c r="J12" s="188" t="s">
        <v>72</v>
      </c>
      <c r="K12" s="188"/>
      <c r="L12" s="188"/>
      <c r="M12" s="188" t="s">
        <v>72</v>
      </c>
      <c r="N12" s="188" t="s">
        <v>72</v>
      </c>
      <c r="O12" s="188" t="s">
        <v>72</v>
      </c>
      <c r="P12" s="188" t="s">
        <v>72</v>
      </c>
      <c r="Q12" s="188" t="s">
        <v>72</v>
      </c>
      <c r="R12" s="188"/>
      <c r="S12" s="188"/>
      <c r="T12" s="188" t="s">
        <v>72</v>
      </c>
      <c r="U12" s="205" t="s">
        <v>72</v>
      </c>
      <c r="V12" s="207" t="s">
        <v>72</v>
      </c>
      <c r="W12" s="207" t="s">
        <v>72</v>
      </c>
      <c r="X12" s="207" t="s">
        <v>72</v>
      </c>
      <c r="Y12" s="210"/>
      <c r="Z12" s="1"/>
      <c r="AA12" s="210" t="s">
        <v>72</v>
      </c>
      <c r="AB12" s="222" t="s">
        <v>72</v>
      </c>
      <c r="AC12" s="225"/>
      <c r="AD12" s="225"/>
      <c r="AE12" s="225"/>
      <c r="AF12" s="225"/>
      <c r="AG12" s="1"/>
      <c r="AH12" s="1"/>
      <c r="AI12" s="3">
        <f>COUNTA(November[[#This Row],[1]:[ ]])</f>
        <v>17</v>
      </c>
      <c r="AL12" s="202">
        <f t="shared" si="0"/>
        <v>2000000</v>
      </c>
      <c r="AM12" s="76">
        <v>2000000</v>
      </c>
      <c r="AN12" s="76"/>
      <c r="AO12" s="76"/>
      <c r="AP12" s="76"/>
      <c r="AQ12" s="76"/>
      <c r="AR12" s="76"/>
      <c r="AS12" s="76"/>
      <c r="AT12" s="193" t="s">
        <v>128</v>
      </c>
    </row>
    <row r="13" spans="1:46" ht="30" customHeight="1">
      <c r="B13" s="158">
        <v>4</v>
      </c>
      <c r="C13" s="2" t="s">
        <v>124</v>
      </c>
      <c r="D13" s="188"/>
      <c r="E13" s="188"/>
      <c r="F13" s="188" t="s">
        <v>72</v>
      </c>
      <c r="G13" s="188" t="s">
        <v>72</v>
      </c>
      <c r="H13" s="188" t="s">
        <v>72</v>
      </c>
      <c r="I13" s="188" t="s">
        <v>72</v>
      </c>
      <c r="J13" s="188" t="s">
        <v>72</v>
      </c>
      <c r="K13" s="188"/>
      <c r="L13" s="188"/>
      <c r="M13" s="188" t="s">
        <v>72</v>
      </c>
      <c r="N13" s="188" t="s">
        <v>72</v>
      </c>
      <c r="O13" s="188" t="s">
        <v>72</v>
      </c>
      <c r="P13" s="188" t="s">
        <v>72</v>
      </c>
      <c r="Q13" s="188" t="s">
        <v>72</v>
      </c>
      <c r="R13" s="188"/>
      <c r="S13" s="188"/>
      <c r="T13" s="188" t="s">
        <v>72</v>
      </c>
      <c r="U13" s="205" t="s">
        <v>72</v>
      </c>
      <c r="V13" s="207" t="s">
        <v>72</v>
      </c>
      <c r="W13" s="207" t="s">
        <v>72</v>
      </c>
      <c r="X13" s="207" t="s">
        <v>72</v>
      </c>
      <c r="Y13" s="210"/>
      <c r="Z13" s="1"/>
      <c r="AA13" s="210" t="s">
        <v>72</v>
      </c>
      <c r="AB13" s="222" t="s">
        <v>72</v>
      </c>
      <c r="AC13" s="225"/>
      <c r="AD13" s="225"/>
      <c r="AE13" s="225"/>
      <c r="AF13" s="225"/>
      <c r="AG13" s="1"/>
      <c r="AH13" s="1"/>
      <c r="AI13" s="3">
        <f>COUNTA(November[[#This Row],[1]:[ ]])</f>
        <v>17</v>
      </c>
      <c r="AL13" s="202">
        <f t="shared" si="0"/>
        <v>7500000</v>
      </c>
      <c r="AM13" s="76">
        <v>7500000</v>
      </c>
      <c r="AN13" s="76"/>
      <c r="AO13" s="76">
        <f>$AJ$5*October[[#This Row],[Total days]]</f>
        <v>0</v>
      </c>
      <c r="AP13" s="76"/>
      <c r="AQ13" s="76"/>
      <c r="AR13" s="76"/>
      <c r="AS13" s="76"/>
      <c r="AT13" s="193" t="s">
        <v>129</v>
      </c>
    </row>
    <row r="14" spans="1:46" ht="28.8" customHeight="1">
      <c r="B14" s="158">
        <v>5</v>
      </c>
      <c r="C14" s="31" t="s">
        <v>172</v>
      </c>
      <c r="D14" s="188"/>
      <c r="E14" s="188"/>
      <c r="F14" s="188" t="s">
        <v>72</v>
      </c>
      <c r="G14" s="188" t="s">
        <v>72</v>
      </c>
      <c r="H14" s="188" t="s">
        <v>72</v>
      </c>
      <c r="I14" s="188" t="s">
        <v>72</v>
      </c>
      <c r="J14" s="188" t="s">
        <v>72</v>
      </c>
      <c r="K14" s="188"/>
      <c r="L14" s="188"/>
      <c r="M14" s="188" t="s">
        <v>72</v>
      </c>
      <c r="N14" s="188" t="s">
        <v>72</v>
      </c>
      <c r="O14" s="188" t="s">
        <v>72</v>
      </c>
      <c r="P14" s="188" t="s">
        <v>72</v>
      </c>
      <c r="Q14" s="188" t="s">
        <v>72</v>
      </c>
      <c r="R14" s="188"/>
      <c r="S14" s="188"/>
      <c r="T14" s="188" t="s">
        <v>72</v>
      </c>
      <c r="U14" s="205" t="s">
        <v>72</v>
      </c>
      <c r="V14" s="207" t="s">
        <v>72</v>
      </c>
      <c r="W14" s="207" t="s">
        <v>72</v>
      </c>
      <c r="X14" s="207" t="s">
        <v>72</v>
      </c>
      <c r="Y14" s="210"/>
      <c r="Z14" s="1"/>
      <c r="AA14" s="211"/>
      <c r="AB14" s="211"/>
      <c r="AC14" s="225"/>
      <c r="AD14" s="225"/>
      <c r="AE14" s="225"/>
      <c r="AF14" s="225"/>
      <c r="AG14" s="1"/>
      <c r="AH14" s="32"/>
      <c r="AI14" s="3">
        <f>COUNTA(November[[#This Row],[1]:[ ]])</f>
        <v>15</v>
      </c>
      <c r="AL14" s="202">
        <f>SUM(AN14:AS14)</f>
        <v>3418181.8181818184</v>
      </c>
      <c r="AM14" s="224">
        <v>4500000</v>
      </c>
      <c r="AN14" s="76">
        <f>(AM14/22)*November[[#This Row],[Total days]]</f>
        <v>3068181.8181818184</v>
      </c>
      <c r="AO14" s="76">
        <f>AJ5*November[[#This Row],[Total days]]</f>
        <v>300000</v>
      </c>
      <c r="AP14" s="76">
        <v>50000</v>
      </c>
      <c r="AQ14" s="76"/>
      <c r="AR14" s="76"/>
      <c r="AS14" s="76"/>
      <c r="AT14" s="193" t="s">
        <v>130</v>
      </c>
    </row>
    <row r="15" spans="1:46" ht="30" customHeight="1">
      <c r="A15" t="s">
        <v>33</v>
      </c>
      <c r="B15" s="158">
        <v>6</v>
      </c>
      <c r="C15" s="31" t="s">
        <v>171</v>
      </c>
      <c r="D15" s="188"/>
      <c r="E15" s="188"/>
      <c r="F15" s="188" t="s">
        <v>72</v>
      </c>
      <c r="G15" s="188" t="s">
        <v>72</v>
      </c>
      <c r="H15" s="188" t="s">
        <v>72</v>
      </c>
      <c r="I15" s="188" t="s">
        <v>72</v>
      </c>
      <c r="J15" s="188" t="s">
        <v>72</v>
      </c>
      <c r="K15" s="190" t="s">
        <v>72</v>
      </c>
      <c r="L15" s="190" t="s">
        <v>72</v>
      </c>
      <c r="M15" s="188" t="s">
        <v>72</v>
      </c>
      <c r="N15" s="188" t="s">
        <v>72</v>
      </c>
      <c r="O15" s="188" t="s">
        <v>72</v>
      </c>
      <c r="P15" s="188" t="s">
        <v>72</v>
      </c>
      <c r="Q15" s="188" t="s">
        <v>72</v>
      </c>
      <c r="R15" s="190" t="s">
        <v>72</v>
      </c>
      <c r="S15" s="188"/>
      <c r="T15" s="211"/>
      <c r="U15" s="205" t="s">
        <v>72</v>
      </c>
      <c r="V15" s="207" t="s">
        <v>72</v>
      </c>
      <c r="W15" s="207" t="s">
        <v>72</v>
      </c>
      <c r="X15" s="207" t="s">
        <v>72</v>
      </c>
      <c r="Y15" s="210" t="s">
        <v>72</v>
      </c>
      <c r="Z15" s="1"/>
      <c r="AA15" s="210" t="s">
        <v>72</v>
      </c>
      <c r="AB15" s="222" t="s">
        <v>72</v>
      </c>
      <c r="AC15" s="225"/>
      <c r="AD15" s="225"/>
      <c r="AE15" s="225"/>
      <c r="AF15" s="225"/>
      <c r="AG15" s="225" t="s">
        <v>72</v>
      </c>
      <c r="AH15" s="32"/>
      <c r="AI15" s="3">
        <f>COUNTA(November[[#This Row],[1]:[ ]])</f>
        <v>21</v>
      </c>
      <c r="AL15" s="202">
        <f>SUM(AM15:AS15)</f>
        <v>6026189.903846154</v>
      </c>
      <c r="AM15" s="76">
        <v>5125000</v>
      </c>
      <c r="AN15" s="76"/>
      <c r="AO15" s="76">
        <f>AJ5*November[[#This Row],[Total days]]</f>
        <v>420000</v>
      </c>
      <c r="AP15" s="76">
        <v>50000</v>
      </c>
      <c r="AQ15" s="76">
        <f>AA30</f>
        <v>431189.90384615387</v>
      </c>
      <c r="AR15" s="76"/>
      <c r="AS15" s="76"/>
      <c r="AT15" s="193" t="s">
        <v>132</v>
      </c>
    </row>
    <row r="16" spans="1:46" ht="30" customHeight="1">
      <c r="B16" s="158">
        <v>7</v>
      </c>
      <c r="C16" s="31" t="s">
        <v>154</v>
      </c>
      <c r="D16" s="1"/>
      <c r="E16" s="1"/>
      <c r="F16" s="1"/>
      <c r="G16" s="1"/>
      <c r="H16" s="1"/>
      <c r="I16" s="1"/>
      <c r="J16" s="1"/>
      <c r="K16" s="190" t="s">
        <v>72</v>
      </c>
      <c r="L16" s="190" t="s">
        <v>72</v>
      </c>
      <c r="M16" s="188" t="s">
        <v>72</v>
      </c>
      <c r="N16" s="188" t="s">
        <v>72</v>
      </c>
      <c r="O16" s="188" t="s">
        <v>72</v>
      </c>
      <c r="P16" s="188" t="s">
        <v>72</v>
      </c>
      <c r="Q16" s="188" t="s">
        <v>72</v>
      </c>
      <c r="R16" s="190" t="s">
        <v>72</v>
      </c>
      <c r="S16" s="188"/>
      <c r="T16" s="188" t="s">
        <v>72</v>
      </c>
      <c r="U16" s="205" t="s">
        <v>72</v>
      </c>
      <c r="V16" s="207" t="s">
        <v>72</v>
      </c>
      <c r="W16" s="207" t="s">
        <v>72</v>
      </c>
      <c r="X16" s="207" t="s">
        <v>72</v>
      </c>
      <c r="Y16" s="210" t="s">
        <v>72</v>
      </c>
      <c r="Z16" s="1"/>
      <c r="AA16" s="210" t="s">
        <v>72</v>
      </c>
      <c r="AB16" s="222" t="s">
        <v>72</v>
      </c>
      <c r="AC16" s="225"/>
      <c r="AD16" s="225"/>
      <c r="AE16" s="225"/>
      <c r="AF16" s="225"/>
      <c r="AG16" s="225" t="s">
        <v>72</v>
      </c>
      <c r="AH16" s="32"/>
      <c r="AI16" s="3">
        <f>COUNTA(November[[#This Row],[1]:[ ]])</f>
        <v>17</v>
      </c>
      <c r="AL16" s="202">
        <f t="shared" ref="AL16:AL23" si="1">SUM(AN16:AS16)</f>
        <v>4021663.0244755247</v>
      </c>
      <c r="AM16" s="224">
        <v>4250000</v>
      </c>
      <c r="AN16" s="76">
        <f>(AM16/22)*November[[#This Row],[Total days]]</f>
        <v>3284090.9090909092</v>
      </c>
      <c r="AO16" s="76">
        <f>AJ5*November[[#This Row],[Total days]]</f>
        <v>340000</v>
      </c>
      <c r="AP16" s="76">
        <v>40000</v>
      </c>
      <c r="AQ16" s="76">
        <f>AA31</f>
        <v>357572.11538461543</v>
      </c>
      <c r="AR16" s="76"/>
      <c r="AS16" s="76"/>
      <c r="AT16" s="193" t="s">
        <v>132</v>
      </c>
    </row>
    <row r="17" spans="2:49" ht="30" customHeight="1">
      <c r="B17" s="158">
        <v>8</v>
      </c>
      <c r="C17" s="31" t="s">
        <v>170</v>
      </c>
      <c r="D17" s="188"/>
      <c r="E17" s="188"/>
      <c r="F17" s="188" t="s">
        <v>72</v>
      </c>
      <c r="G17" s="188" t="s">
        <v>72</v>
      </c>
      <c r="H17" s="188" t="s">
        <v>72</v>
      </c>
      <c r="I17" s="188" t="s">
        <v>72</v>
      </c>
      <c r="J17" s="188" t="s">
        <v>72</v>
      </c>
      <c r="K17" s="190" t="s">
        <v>72</v>
      </c>
      <c r="L17" s="190" t="s">
        <v>72</v>
      </c>
      <c r="M17" s="188" t="s">
        <v>72</v>
      </c>
      <c r="N17" s="188" t="s">
        <v>72</v>
      </c>
      <c r="O17" s="188" t="s">
        <v>72</v>
      </c>
      <c r="P17" s="188" t="s">
        <v>72</v>
      </c>
      <c r="Q17" s="188" t="s">
        <v>72</v>
      </c>
      <c r="R17" s="190" t="s">
        <v>72</v>
      </c>
      <c r="S17" s="188"/>
      <c r="T17" s="188" t="s">
        <v>72</v>
      </c>
      <c r="U17" s="205" t="s">
        <v>72</v>
      </c>
      <c r="V17" s="207" t="s">
        <v>72</v>
      </c>
      <c r="W17" s="207" t="s">
        <v>72</v>
      </c>
      <c r="X17" s="211"/>
      <c r="Y17" s="210" t="s">
        <v>72</v>
      </c>
      <c r="Z17" s="1"/>
      <c r="AA17" s="210" t="s">
        <v>72</v>
      </c>
      <c r="AB17" s="222" t="s">
        <v>72</v>
      </c>
      <c r="AC17" s="225"/>
      <c r="AD17" s="225"/>
      <c r="AE17" s="225"/>
      <c r="AF17" s="225"/>
      <c r="AG17" s="225" t="s">
        <v>72</v>
      </c>
      <c r="AH17" s="32"/>
      <c r="AI17" s="3">
        <f>COUNTA(November[[#This Row],[1]:[ ]])</f>
        <v>21</v>
      </c>
      <c r="AL17" s="202">
        <f>SUM(AM17:AS17)</f>
        <v>6247644.230769231</v>
      </c>
      <c r="AM17" s="76">
        <v>5500000</v>
      </c>
      <c r="AN17" s="76"/>
      <c r="AO17" s="76">
        <f>AJ5*November[[#This Row],[Total days]]</f>
        <v>420000</v>
      </c>
      <c r="AP17" s="76">
        <v>50000</v>
      </c>
      <c r="AQ17" s="76">
        <f>AA32</f>
        <v>277644.23076923075</v>
      </c>
      <c r="AR17" s="76"/>
      <c r="AS17" s="76"/>
      <c r="AT17" s="193" t="s">
        <v>132</v>
      </c>
    </row>
    <row r="18" spans="2:49" ht="30" customHeight="1">
      <c r="B18" s="158">
        <v>9</v>
      </c>
      <c r="C18" s="31" t="s">
        <v>148</v>
      </c>
      <c r="D18" s="1"/>
      <c r="E18" s="1"/>
      <c r="F18" s="1"/>
      <c r="G18" s="1"/>
      <c r="H18" s="1"/>
      <c r="I18" s="1"/>
      <c r="J18" s="190" t="s">
        <v>72</v>
      </c>
      <c r="K18" s="190" t="s">
        <v>72</v>
      </c>
      <c r="L18" s="190" t="s">
        <v>72</v>
      </c>
      <c r="M18" s="188" t="s">
        <v>72</v>
      </c>
      <c r="N18" s="188" t="s">
        <v>72</v>
      </c>
      <c r="O18" s="188" t="s">
        <v>72</v>
      </c>
      <c r="P18" s="188" t="s">
        <v>72</v>
      </c>
      <c r="Q18" s="188" t="s">
        <v>72</v>
      </c>
      <c r="R18" s="188"/>
      <c r="S18" s="188"/>
      <c r="T18" s="188" t="s">
        <v>72</v>
      </c>
      <c r="U18" s="205" t="s">
        <v>72</v>
      </c>
      <c r="V18" s="207" t="s">
        <v>72</v>
      </c>
      <c r="W18" s="207" t="s">
        <v>72</v>
      </c>
      <c r="X18" s="207" t="s">
        <v>72</v>
      </c>
      <c r="Y18" s="1"/>
      <c r="Z18" s="1"/>
      <c r="AA18" s="210" t="s">
        <v>72</v>
      </c>
      <c r="AB18" s="222" t="s">
        <v>72</v>
      </c>
      <c r="AC18" s="225"/>
      <c r="AD18" s="225"/>
      <c r="AE18" s="225"/>
      <c r="AF18" s="225"/>
      <c r="AG18" s="1"/>
      <c r="AH18" s="32"/>
      <c r="AI18" s="3">
        <f>COUNTA(November[[#This Row],[1]:[ ]])</f>
        <v>15</v>
      </c>
      <c r="AL18" s="202">
        <f t="shared" si="1"/>
        <v>4277500</v>
      </c>
      <c r="AM18" s="224">
        <v>4500000</v>
      </c>
      <c r="AN18" s="76">
        <f>(AM18/22)*November[[#This Row],[Total days]]</f>
        <v>3068181.8181818184</v>
      </c>
      <c r="AO18" s="76">
        <f>AJ5*November[[#This Row],[Total days]]</f>
        <v>300000</v>
      </c>
      <c r="AP18" s="76">
        <v>40000</v>
      </c>
      <c r="AQ18" s="76">
        <f>AA33</f>
        <v>869318.18181818188</v>
      </c>
      <c r="AR18" s="76"/>
      <c r="AS18" s="76"/>
      <c r="AT18" s="193" t="s">
        <v>131</v>
      </c>
    </row>
    <row r="19" spans="2:49" ht="30" customHeight="1">
      <c r="B19" s="158">
        <v>10</v>
      </c>
      <c r="C19" s="31" t="s">
        <v>137</v>
      </c>
      <c r="D19" s="1"/>
      <c r="E19" s="1"/>
      <c r="F19" s="1"/>
      <c r="G19" s="1"/>
      <c r="H19" s="1"/>
      <c r="I19" s="1"/>
      <c r="J19" s="190" t="s">
        <v>72</v>
      </c>
      <c r="K19" s="190" t="s">
        <v>72</v>
      </c>
      <c r="L19" s="1"/>
      <c r="M19" s="188" t="s">
        <v>72</v>
      </c>
      <c r="N19" s="188" t="s">
        <v>72</v>
      </c>
      <c r="O19" s="188" t="s">
        <v>72</v>
      </c>
      <c r="P19" s="188" t="s">
        <v>72</v>
      </c>
      <c r="Q19" s="188" t="s">
        <v>72</v>
      </c>
      <c r="R19" s="188"/>
      <c r="S19" s="188"/>
      <c r="T19" s="188" t="s">
        <v>72</v>
      </c>
      <c r="U19" s="205" t="s">
        <v>72</v>
      </c>
      <c r="V19" s="207" t="s">
        <v>72</v>
      </c>
      <c r="W19" s="207" t="s">
        <v>72</v>
      </c>
      <c r="X19" s="207" t="s">
        <v>72</v>
      </c>
      <c r="Y19" s="1"/>
      <c r="Z19" s="1"/>
      <c r="AA19" s="210" t="s">
        <v>72</v>
      </c>
      <c r="AB19" s="222" t="s">
        <v>72</v>
      </c>
      <c r="AC19" s="225"/>
      <c r="AD19" s="225"/>
      <c r="AE19" s="225"/>
      <c r="AF19" s="225"/>
      <c r="AG19" s="1"/>
      <c r="AH19" s="32"/>
      <c r="AI19" s="3">
        <f>COUNTA(November[[#This Row],[1]:[ ]])</f>
        <v>14</v>
      </c>
      <c r="AL19" s="202">
        <f t="shared" si="1"/>
        <v>3605511.3636363638</v>
      </c>
      <c r="AM19" s="224">
        <v>4500000</v>
      </c>
      <c r="AN19" s="76">
        <f>(AM19/22)*November[[#This Row],[Total days]]</f>
        <v>2863636.3636363638</v>
      </c>
      <c r="AO19" s="76">
        <f>AJ5*November[[#This Row],[Total days]]</f>
        <v>280000</v>
      </c>
      <c r="AP19" s="76">
        <v>40000</v>
      </c>
      <c r="AQ19" s="76">
        <f>AA34</f>
        <v>421875</v>
      </c>
      <c r="AR19" s="76"/>
      <c r="AS19" s="76"/>
      <c r="AT19" s="193" t="s">
        <v>131</v>
      </c>
    </row>
    <row r="20" spans="2:49" ht="30" customHeight="1">
      <c r="B20" s="158">
        <v>11</v>
      </c>
      <c r="C20" s="31" t="s">
        <v>169</v>
      </c>
      <c r="D20" s="188"/>
      <c r="E20" s="188"/>
      <c r="F20" s="188"/>
      <c r="G20" s="188"/>
      <c r="H20" s="188"/>
      <c r="I20" s="188"/>
      <c r="J20" s="188"/>
      <c r="K20" s="188"/>
      <c r="L20" s="188"/>
      <c r="M20" s="188"/>
      <c r="N20" s="188" t="s">
        <v>72</v>
      </c>
      <c r="O20" s="188" t="s">
        <v>72</v>
      </c>
      <c r="P20" s="188" t="s">
        <v>72</v>
      </c>
      <c r="Q20" s="188" t="s">
        <v>72</v>
      </c>
      <c r="R20" s="188"/>
      <c r="S20" s="188"/>
      <c r="T20" s="188" t="s">
        <v>72</v>
      </c>
      <c r="U20" s="205" t="s">
        <v>72</v>
      </c>
      <c r="V20" s="207" t="s">
        <v>72</v>
      </c>
      <c r="W20" s="207" t="s">
        <v>72</v>
      </c>
      <c r="X20" s="207" t="s">
        <v>72</v>
      </c>
      <c r="Y20" s="188"/>
      <c r="Z20" s="188"/>
      <c r="AA20" s="210" t="s">
        <v>72</v>
      </c>
      <c r="AB20" s="222" t="s">
        <v>72</v>
      </c>
      <c r="AC20" s="225"/>
      <c r="AD20" s="225"/>
      <c r="AE20" s="225"/>
      <c r="AF20" s="225"/>
      <c r="AG20" s="188"/>
      <c r="AH20" s="32"/>
      <c r="AI20" s="3">
        <f>COUNTA(November[[#This Row],[1]:[ ]])</f>
        <v>11</v>
      </c>
      <c r="AL20" s="202">
        <f t="shared" si="1"/>
        <v>2510000</v>
      </c>
      <c r="AM20" s="224">
        <v>4500000</v>
      </c>
      <c r="AN20" s="76">
        <f>(AM20/22)*November[[#This Row],[Total days]]</f>
        <v>2250000</v>
      </c>
      <c r="AO20" s="76">
        <f>AJ5*November[[#This Row],[Total days]]</f>
        <v>220000</v>
      </c>
      <c r="AP20" s="76">
        <v>40000</v>
      </c>
      <c r="AQ20" s="76"/>
      <c r="AR20" s="76"/>
      <c r="AS20" s="76"/>
      <c r="AT20" s="193" t="s">
        <v>131</v>
      </c>
    </row>
    <row r="21" spans="2:49" ht="30" customHeight="1">
      <c r="B21" s="158">
        <v>12</v>
      </c>
      <c r="C21" s="31" t="s">
        <v>147</v>
      </c>
      <c r="D21" s="188"/>
      <c r="E21" s="188"/>
      <c r="F21" s="188"/>
      <c r="G21" s="188"/>
      <c r="H21" s="188"/>
      <c r="I21" s="188"/>
      <c r="J21" s="188"/>
      <c r="K21" s="190" t="s">
        <v>72</v>
      </c>
      <c r="L21" s="188"/>
      <c r="M21" s="188" t="s">
        <v>72</v>
      </c>
      <c r="N21" s="188" t="s">
        <v>72</v>
      </c>
      <c r="O21" s="188" t="s">
        <v>72</v>
      </c>
      <c r="P21" s="188" t="s">
        <v>72</v>
      </c>
      <c r="Q21" s="188" t="s">
        <v>72</v>
      </c>
      <c r="R21" s="188"/>
      <c r="S21" s="188"/>
      <c r="T21" s="188" t="s">
        <v>72</v>
      </c>
      <c r="U21" s="205" t="s">
        <v>72</v>
      </c>
      <c r="V21" s="207" t="s">
        <v>72</v>
      </c>
      <c r="W21" s="207" t="s">
        <v>72</v>
      </c>
      <c r="X21" s="207" t="s">
        <v>72</v>
      </c>
      <c r="Y21" s="188"/>
      <c r="Z21" s="188"/>
      <c r="AA21" s="210" t="s">
        <v>72</v>
      </c>
      <c r="AB21" s="222" t="s">
        <v>72</v>
      </c>
      <c r="AC21" s="225"/>
      <c r="AD21" s="225"/>
      <c r="AE21" s="225"/>
      <c r="AF21" s="225"/>
      <c r="AG21" s="188"/>
      <c r="AH21" s="32"/>
      <c r="AI21" s="3">
        <f>COUNTA(November[[#This Row],[1]:[ ]])</f>
        <v>13</v>
      </c>
      <c r="AL21" s="202">
        <f t="shared" si="1"/>
        <v>3209801.1363636362</v>
      </c>
      <c r="AM21" s="224">
        <v>4250000</v>
      </c>
      <c r="AN21" s="76">
        <f>(AM21/22)*November[[#This Row],[Total days]]</f>
        <v>2511363.6363636362</v>
      </c>
      <c r="AO21" s="76">
        <f>AJ5*November[[#This Row],[Total days]]</f>
        <v>260000</v>
      </c>
      <c r="AP21" s="76">
        <v>40000</v>
      </c>
      <c r="AQ21" s="76">
        <f>AA35</f>
        <v>398437.5</v>
      </c>
      <c r="AR21" s="76"/>
      <c r="AS21" s="76"/>
      <c r="AT21" s="193" t="s">
        <v>126</v>
      </c>
    </row>
    <row r="22" spans="2:49" ht="30" customHeight="1">
      <c r="B22" s="158">
        <v>13</v>
      </c>
      <c r="C22" s="31" t="s">
        <v>153</v>
      </c>
      <c r="D22" s="188"/>
      <c r="E22" s="188"/>
      <c r="F22" s="188"/>
      <c r="G22" s="188"/>
      <c r="H22" s="188"/>
      <c r="I22" s="188"/>
      <c r="J22" s="188"/>
      <c r="K22" s="190" t="s">
        <v>72</v>
      </c>
      <c r="L22" s="188"/>
      <c r="M22" s="188" t="s">
        <v>72</v>
      </c>
      <c r="N22" s="188" t="s">
        <v>72</v>
      </c>
      <c r="O22" s="188" t="s">
        <v>72</v>
      </c>
      <c r="P22" s="188" t="s">
        <v>72</v>
      </c>
      <c r="Q22" s="188" t="s">
        <v>72</v>
      </c>
      <c r="R22" s="188"/>
      <c r="S22" s="188"/>
      <c r="T22" s="188" t="s">
        <v>72</v>
      </c>
      <c r="U22" s="205" t="s">
        <v>72</v>
      </c>
      <c r="V22" s="207" t="s">
        <v>72</v>
      </c>
      <c r="W22" s="207" t="s">
        <v>72</v>
      </c>
      <c r="X22" s="207" t="s">
        <v>72</v>
      </c>
      <c r="Y22" s="188"/>
      <c r="Z22" s="188"/>
      <c r="AA22" s="210" t="s">
        <v>72</v>
      </c>
      <c r="AB22" s="222" t="s">
        <v>72</v>
      </c>
      <c r="AC22" s="225"/>
      <c r="AD22" s="225"/>
      <c r="AE22" s="225"/>
      <c r="AF22" s="225"/>
      <c r="AG22" s="188"/>
      <c r="AH22" s="32"/>
      <c r="AI22" s="3">
        <f>COUNTA(November[[#This Row],[1]:[ ]])</f>
        <v>13</v>
      </c>
      <c r="AL22" s="202">
        <f t="shared" si="1"/>
        <v>3209801.1363636362</v>
      </c>
      <c r="AM22" s="224">
        <v>4250000</v>
      </c>
      <c r="AN22" s="76">
        <f>(AM22/22)*November[[#This Row],[Total days]]</f>
        <v>2511363.6363636362</v>
      </c>
      <c r="AO22" s="76">
        <f>AJ5*November[[#This Row],[Total days]]</f>
        <v>260000</v>
      </c>
      <c r="AP22" s="76">
        <v>40000</v>
      </c>
      <c r="AQ22" s="76">
        <f>AA36</f>
        <v>398437.5</v>
      </c>
      <c r="AR22" s="76"/>
      <c r="AS22" s="76"/>
      <c r="AT22" s="193" t="s">
        <v>126</v>
      </c>
    </row>
    <row r="23" spans="2:49" ht="30" customHeight="1">
      <c r="B23" s="158">
        <v>14</v>
      </c>
      <c r="C23" s="31" t="s">
        <v>144</v>
      </c>
      <c r="D23" s="1"/>
      <c r="E23" s="1"/>
      <c r="F23" s="1"/>
      <c r="G23" s="1"/>
      <c r="H23" s="1"/>
      <c r="I23" s="1"/>
      <c r="J23" s="190" t="s">
        <v>72</v>
      </c>
      <c r="K23" s="190" t="s">
        <v>72</v>
      </c>
      <c r="L23" s="1"/>
      <c r="M23" s="188" t="s">
        <v>72</v>
      </c>
      <c r="N23" s="188" t="s">
        <v>72</v>
      </c>
      <c r="O23" s="188" t="s">
        <v>72</v>
      </c>
      <c r="P23" s="188" t="s">
        <v>72</v>
      </c>
      <c r="Q23" s="188" t="s">
        <v>72</v>
      </c>
      <c r="R23" s="188"/>
      <c r="S23" s="188"/>
      <c r="T23" s="188" t="s">
        <v>72</v>
      </c>
      <c r="U23" s="205" t="s">
        <v>72</v>
      </c>
      <c r="V23" s="207" t="s">
        <v>72</v>
      </c>
      <c r="W23" s="207" t="s">
        <v>72</v>
      </c>
      <c r="X23" s="207" t="s">
        <v>72</v>
      </c>
      <c r="Y23" s="1"/>
      <c r="Z23" s="1"/>
      <c r="AA23" s="210" t="s">
        <v>72</v>
      </c>
      <c r="AB23" s="222" t="s">
        <v>72</v>
      </c>
      <c r="AC23" s="225"/>
      <c r="AD23" s="225"/>
      <c r="AE23" s="225"/>
      <c r="AF23" s="225"/>
      <c r="AG23" s="1"/>
      <c r="AH23" s="32"/>
      <c r="AI23" s="3">
        <f>COUNTA(November[[#This Row],[1]:[ ]])</f>
        <v>14</v>
      </c>
      <c r="AL23" s="202">
        <f t="shared" si="1"/>
        <v>3422982.9545454546</v>
      </c>
      <c r="AM23" s="224">
        <v>4250000</v>
      </c>
      <c r="AN23" s="76">
        <f>(AM23/22)*November[[#This Row],[Total days]]</f>
        <v>2704545.4545454546</v>
      </c>
      <c r="AO23" s="76">
        <f>AJ5*November[[#This Row],[Total days]]</f>
        <v>280000</v>
      </c>
      <c r="AP23" s="76">
        <v>40000</v>
      </c>
      <c r="AQ23" s="76">
        <f>AA37</f>
        <v>398437.5</v>
      </c>
      <c r="AR23" s="76"/>
      <c r="AS23" s="76"/>
      <c r="AT23" s="193" t="s">
        <v>126</v>
      </c>
    </row>
    <row r="24" spans="2:49" ht="30" customHeight="1">
      <c r="B24" s="158">
        <v>15</v>
      </c>
      <c r="C24" s="31" t="s">
        <v>173</v>
      </c>
      <c r="D24" s="188"/>
      <c r="E24" s="188"/>
      <c r="F24" s="188" t="s">
        <v>72</v>
      </c>
      <c r="G24" s="188" t="s">
        <v>72</v>
      </c>
      <c r="H24" s="188" t="s">
        <v>72</v>
      </c>
      <c r="I24" s="188" t="s">
        <v>72</v>
      </c>
      <c r="J24" s="188" t="s">
        <v>72</v>
      </c>
      <c r="K24" s="188"/>
      <c r="L24" s="188"/>
      <c r="M24" s="188" t="s">
        <v>72</v>
      </c>
      <c r="N24" s="188" t="s">
        <v>72</v>
      </c>
      <c r="O24" s="188" t="s">
        <v>72</v>
      </c>
      <c r="P24" s="188" t="s">
        <v>72</v>
      </c>
      <c r="Q24" s="188" t="s">
        <v>72</v>
      </c>
      <c r="R24" s="188"/>
      <c r="S24" s="188"/>
      <c r="T24" s="188" t="s">
        <v>72</v>
      </c>
      <c r="U24" s="205" t="s">
        <v>72</v>
      </c>
      <c r="V24" s="207" t="s">
        <v>72</v>
      </c>
      <c r="W24" s="207" t="s">
        <v>72</v>
      </c>
      <c r="X24" s="207" t="s">
        <v>72</v>
      </c>
      <c r="Y24" s="1"/>
      <c r="Z24" s="1"/>
      <c r="AA24" s="210" t="s">
        <v>72</v>
      </c>
      <c r="AB24" s="211"/>
      <c r="AC24" s="225"/>
      <c r="AD24" s="225"/>
      <c r="AE24" s="225"/>
      <c r="AF24" s="225"/>
      <c r="AG24" s="1"/>
      <c r="AH24" s="32"/>
      <c r="AI24" s="3">
        <f>COUNTA(November[[#This Row],[1]:[ ]])</f>
        <v>16</v>
      </c>
      <c r="AL24" s="202">
        <f>SUM(AM24:AU24)</f>
        <v>4000000</v>
      </c>
      <c r="AM24" s="76">
        <v>4000000</v>
      </c>
      <c r="AN24" s="76"/>
      <c r="AO24" s="76"/>
      <c r="AP24" s="76"/>
      <c r="AQ24" s="76"/>
      <c r="AR24" s="76"/>
      <c r="AS24" s="76"/>
      <c r="AT24" s="193" t="s">
        <v>133</v>
      </c>
    </row>
    <row r="25" spans="2:49" ht="30" customHeight="1">
      <c r="C25" s="5" t="str">
        <f>MonthName&amp;" Total"</f>
        <v xml:space="preserve"> Total</v>
      </c>
      <c r="D25" s="4">
        <f>SUBTOTAL(103,November[1])</f>
        <v>0</v>
      </c>
      <c r="E25" s="4">
        <f>SUBTOTAL(103,November[2])</f>
        <v>0</v>
      </c>
      <c r="F25" s="4">
        <f>SUBTOTAL(103,November[3])</f>
        <v>8</v>
      </c>
      <c r="G25" s="4">
        <f>SUBTOTAL(103,November[4])</f>
        <v>8</v>
      </c>
      <c r="H25" s="4">
        <f>SUBTOTAL(103,November[5])</f>
        <v>8</v>
      </c>
      <c r="I25" s="4">
        <f>SUBTOTAL(103,November[6])</f>
        <v>8</v>
      </c>
      <c r="J25" s="4">
        <f>SUBTOTAL(103,November[7])</f>
        <v>11</v>
      </c>
      <c r="K25" s="4">
        <f>SUBTOTAL(103,November[8])</f>
        <v>10</v>
      </c>
      <c r="L25" s="4">
        <f>SUBTOTAL(103,November[9])</f>
        <v>5</v>
      </c>
      <c r="M25" s="4">
        <f>SUBTOTAL(103,November[10])</f>
        <v>14</v>
      </c>
      <c r="N25" s="4">
        <f>SUBTOTAL(103,November[11])</f>
        <v>15</v>
      </c>
      <c r="O25" s="4">
        <f>SUBTOTAL(103,November[12])</f>
        <v>15</v>
      </c>
      <c r="P25" s="4">
        <f>SUBTOTAL(103,November[13])</f>
        <v>15</v>
      </c>
      <c r="Q25" s="4">
        <f>SUBTOTAL(103,November[14])</f>
        <v>15</v>
      </c>
      <c r="R25" s="4">
        <f>SUBTOTAL(103,November[15])</f>
        <v>5</v>
      </c>
      <c r="S25" s="4">
        <f>SUBTOTAL(103,November[16])</f>
        <v>0</v>
      </c>
      <c r="T25" s="4">
        <f>SUBTOTAL(103,November[17])</f>
        <v>14</v>
      </c>
      <c r="U25" s="4">
        <f>SUBTOTAL(103,November[18])</f>
        <v>15</v>
      </c>
      <c r="V25" s="4">
        <f>SUBTOTAL(103,November[19])</f>
        <v>15</v>
      </c>
      <c r="W25" s="4">
        <f>SUBTOTAL(103,November[20])</f>
        <v>15</v>
      </c>
      <c r="X25" s="4">
        <f>SUBTOTAL(103,November[21])</f>
        <v>14</v>
      </c>
      <c r="Y25" s="4">
        <f>SUBTOTAL(103,November[22])</f>
        <v>5</v>
      </c>
      <c r="Z25" s="4">
        <f>SUBTOTAL(103,November[23])</f>
        <v>0</v>
      </c>
      <c r="AA25" s="4">
        <f>SUBTOTAL(103,November[24])</f>
        <v>14</v>
      </c>
      <c r="AB25" s="4">
        <f>SUBTOTAL(103,November[25])</f>
        <v>13</v>
      </c>
      <c r="AC25" s="4">
        <f>SUBTOTAL(103,November[26])</f>
        <v>0</v>
      </c>
      <c r="AD25" s="4">
        <f>SUBTOTAL(103,November[27])</f>
        <v>0</v>
      </c>
      <c r="AE25" s="4">
        <f>SUBTOTAL(103,November[28])</f>
        <v>0</v>
      </c>
      <c r="AF25" s="4">
        <f>SUBTOTAL(103,November[29])</f>
        <v>0</v>
      </c>
      <c r="AG25" s="4">
        <f>SUBTOTAL(109,November[30])</f>
        <v>0</v>
      </c>
      <c r="AH25" s="4">
        <f>SUBTOTAL(109,November[[ ]])</f>
        <v>0</v>
      </c>
      <c r="AI25" s="4">
        <f>SUBTOTAL(109,November[Total days])</f>
        <v>245</v>
      </c>
      <c r="AL25" s="203">
        <f>SUM(AL9:AL24)</f>
        <v>68449275.568181813</v>
      </c>
      <c r="AM25" s="204">
        <f t="shared" ref="AM25:AS25" si="2">SUM(AM9:AM24)</f>
        <v>74125000</v>
      </c>
      <c r="AN25" s="204"/>
      <c r="AO25" s="204">
        <f>SUM(AO9:AO24)</f>
        <v>3080000</v>
      </c>
      <c r="AP25" s="204">
        <f>SUM(AP9:AP24)</f>
        <v>430000</v>
      </c>
      <c r="AQ25" s="204"/>
      <c r="AR25" s="204">
        <f t="shared" si="2"/>
        <v>0</v>
      </c>
      <c r="AS25" s="204">
        <f t="shared" si="2"/>
        <v>0</v>
      </c>
    </row>
    <row r="26" spans="2:49" ht="14.4"/>
    <row r="27" spans="2:49" s="51" customFormat="1" ht="31.8" customHeight="1"/>
    <row r="28" spans="2:49" s="51" customFormat="1" ht="31.8" customHeight="1">
      <c r="B28" s="216"/>
      <c r="C28" s="217" t="s">
        <v>179</v>
      </c>
      <c r="D28" s="322" t="s">
        <v>180</v>
      </c>
      <c r="E28" s="323"/>
      <c r="F28" s="323"/>
      <c r="G28" s="323"/>
      <c r="H28" s="323"/>
      <c r="I28" s="323"/>
      <c r="J28" s="323"/>
      <c r="K28" s="323"/>
      <c r="L28" s="323"/>
      <c r="M28" s="323"/>
      <c r="N28" s="324"/>
      <c r="O28" s="322" t="s">
        <v>183</v>
      </c>
      <c r="P28" s="323"/>
      <c r="Q28" s="323"/>
      <c r="R28" s="323"/>
      <c r="S28" s="323"/>
      <c r="T28" s="323"/>
      <c r="U28" s="323"/>
      <c r="V28" s="323"/>
      <c r="W28" s="323"/>
      <c r="X28" s="323"/>
      <c r="Y28" s="323"/>
      <c r="Z28" s="324"/>
      <c r="AA28" s="322" t="s">
        <v>181</v>
      </c>
      <c r="AB28" s="323"/>
      <c r="AC28" s="323"/>
      <c r="AD28" s="323"/>
      <c r="AE28" s="323"/>
      <c r="AF28" s="324"/>
      <c r="AG28" s="328" t="s">
        <v>182</v>
      </c>
      <c r="AH28" s="328"/>
      <c r="AI28" s="328"/>
      <c r="AP28" s="212"/>
      <c r="AQ28" s="212"/>
      <c r="AR28" s="212"/>
      <c r="AS28" s="212"/>
      <c r="AT28" s="212"/>
    </row>
    <row r="29" spans="2:49" s="51" customFormat="1" ht="31.8" hidden="1" customHeight="1">
      <c r="B29" s="216">
        <v>1</v>
      </c>
      <c r="C29" s="218" t="s">
        <v>116</v>
      </c>
      <c r="D29" s="325"/>
      <c r="E29" s="326"/>
      <c r="F29" s="326"/>
      <c r="G29" s="326"/>
      <c r="H29" s="327"/>
      <c r="I29" s="325">
        <f>AM31*D29</f>
        <v>0</v>
      </c>
      <c r="J29" s="326"/>
      <c r="K29" s="326"/>
      <c r="L29" s="326"/>
      <c r="M29" s="326"/>
      <c r="N29" s="327"/>
      <c r="O29" s="325"/>
      <c r="P29" s="326"/>
      <c r="Q29" s="326"/>
      <c r="R29" s="326"/>
      <c r="S29" s="326"/>
      <c r="T29" s="327"/>
      <c r="U29" s="325"/>
      <c r="V29" s="326"/>
      <c r="W29" s="326"/>
      <c r="X29" s="326"/>
      <c r="Y29" s="326"/>
      <c r="Z29" s="327"/>
      <c r="AA29" s="325">
        <f>I29+U29</f>
        <v>0</v>
      </c>
      <c r="AB29" s="326"/>
      <c r="AC29" s="326"/>
      <c r="AD29" s="326"/>
      <c r="AE29" s="326"/>
      <c r="AF29" s="327"/>
      <c r="AG29" s="328"/>
      <c r="AH29" s="328"/>
      <c r="AI29" s="328"/>
      <c r="AP29" s="212"/>
      <c r="AQ29" s="212"/>
      <c r="AR29" s="212"/>
      <c r="AS29" s="212"/>
      <c r="AT29" s="212"/>
    </row>
    <row r="30" spans="2:49" s="51" customFormat="1" ht="31.8" customHeight="1">
      <c r="B30" s="216">
        <v>1</v>
      </c>
      <c r="C30" s="219" t="s">
        <v>171</v>
      </c>
      <c r="D30" s="325"/>
      <c r="E30" s="326"/>
      <c r="F30" s="326"/>
      <c r="G30" s="326"/>
      <c r="H30" s="327"/>
      <c r="I30" s="325">
        <f>AM32*D30</f>
        <v>0</v>
      </c>
      <c r="J30" s="326"/>
      <c r="K30" s="326"/>
      <c r="L30" s="326"/>
      <c r="M30" s="326"/>
      <c r="N30" s="327"/>
      <c r="O30" s="325">
        <v>7</v>
      </c>
      <c r="P30" s="326"/>
      <c r="Q30" s="326"/>
      <c r="R30" s="326"/>
      <c r="S30" s="326"/>
      <c r="T30" s="327"/>
      <c r="U30" s="325">
        <f>AO32*O30</f>
        <v>431189.90384615387</v>
      </c>
      <c r="V30" s="326"/>
      <c r="W30" s="326"/>
      <c r="X30" s="326"/>
      <c r="Y30" s="326"/>
      <c r="Z30" s="327"/>
      <c r="AA30" s="325">
        <f t="shared" ref="AA30:AA37" si="3">I30+U30</f>
        <v>431189.90384615387</v>
      </c>
      <c r="AB30" s="326"/>
      <c r="AC30" s="326"/>
      <c r="AD30" s="326"/>
      <c r="AE30" s="326"/>
      <c r="AF30" s="327"/>
      <c r="AG30" s="328"/>
      <c r="AH30" s="328"/>
      <c r="AI30" s="328"/>
      <c r="AL30" s="213" t="s">
        <v>178</v>
      </c>
      <c r="AM30" s="213" t="s">
        <v>175</v>
      </c>
      <c r="AN30" s="213"/>
      <c r="AO30" s="213" t="s">
        <v>176</v>
      </c>
      <c r="AP30" s="212"/>
      <c r="AQ30" s="212"/>
      <c r="AR30" s="212"/>
      <c r="AS30" s="212"/>
      <c r="AT30" s="212"/>
      <c r="AU30" s="212"/>
      <c r="AV30" s="212"/>
      <c r="AW30" s="212"/>
    </row>
    <row r="31" spans="2:49" s="51" customFormat="1" ht="31.8" customHeight="1">
      <c r="B31" s="216">
        <v>2</v>
      </c>
      <c r="C31" s="220" t="s">
        <v>154</v>
      </c>
      <c r="D31" s="325"/>
      <c r="E31" s="326"/>
      <c r="F31" s="326"/>
      <c r="G31" s="326"/>
      <c r="H31" s="327"/>
      <c r="I31" s="325">
        <f>AM33*D31</f>
        <v>0</v>
      </c>
      <c r="J31" s="326"/>
      <c r="K31" s="326"/>
      <c r="L31" s="326"/>
      <c r="M31" s="326"/>
      <c r="N31" s="327"/>
      <c r="O31" s="325">
        <v>7</v>
      </c>
      <c r="P31" s="326"/>
      <c r="Q31" s="326"/>
      <c r="R31" s="326"/>
      <c r="S31" s="326"/>
      <c r="T31" s="327"/>
      <c r="U31" s="325">
        <f>AO33*O31</f>
        <v>357572.11538461543</v>
      </c>
      <c r="V31" s="326"/>
      <c r="W31" s="326"/>
      <c r="X31" s="326"/>
      <c r="Y31" s="326"/>
      <c r="Z31" s="327"/>
      <c r="AA31" s="325">
        <f t="shared" si="3"/>
        <v>357572.11538461543</v>
      </c>
      <c r="AB31" s="326"/>
      <c r="AC31" s="326"/>
      <c r="AD31" s="326"/>
      <c r="AE31" s="326"/>
      <c r="AF31" s="327"/>
      <c r="AG31" s="328"/>
      <c r="AH31" s="328"/>
      <c r="AI31" s="328"/>
      <c r="AL31" s="214">
        <v>5500000</v>
      </c>
      <c r="AM31" s="215">
        <f>(((AL31/26)/8)*150)/100</f>
        <v>39663.461538461532</v>
      </c>
      <c r="AN31" s="215"/>
      <c r="AO31" s="215">
        <f>(((AL31/26)/8)*250%)/100%</f>
        <v>66105.769230769234</v>
      </c>
      <c r="AP31" s="212"/>
      <c r="AQ31" s="212"/>
      <c r="AR31" s="212"/>
      <c r="AS31" s="212"/>
      <c r="AT31" s="212"/>
      <c r="AU31" s="212"/>
      <c r="AV31" s="212"/>
      <c r="AW31" s="212"/>
    </row>
    <row r="32" spans="2:49" s="51" customFormat="1" ht="31.8" customHeight="1">
      <c r="B32" s="216">
        <v>3</v>
      </c>
      <c r="C32" s="219" t="s">
        <v>170</v>
      </c>
      <c r="D32" s="325"/>
      <c r="E32" s="326"/>
      <c r="F32" s="326"/>
      <c r="G32" s="326"/>
      <c r="H32" s="327"/>
      <c r="I32" s="325">
        <f>AM31*D32</f>
        <v>0</v>
      </c>
      <c r="J32" s="326"/>
      <c r="K32" s="326"/>
      <c r="L32" s="326"/>
      <c r="M32" s="326"/>
      <c r="N32" s="327"/>
      <c r="O32" s="325">
        <v>7</v>
      </c>
      <c r="P32" s="326"/>
      <c r="Q32" s="326"/>
      <c r="R32" s="326"/>
      <c r="S32" s="326"/>
      <c r="T32" s="327"/>
      <c r="U32" s="325">
        <f>AM31*O32</f>
        <v>277644.23076923075</v>
      </c>
      <c r="V32" s="326"/>
      <c r="W32" s="326"/>
      <c r="X32" s="326"/>
      <c r="Y32" s="326"/>
      <c r="Z32" s="327"/>
      <c r="AA32" s="325">
        <f t="shared" si="3"/>
        <v>277644.23076923075</v>
      </c>
      <c r="AB32" s="326"/>
      <c r="AC32" s="326"/>
      <c r="AD32" s="326"/>
      <c r="AE32" s="326"/>
      <c r="AF32" s="327"/>
      <c r="AG32" s="328"/>
      <c r="AH32" s="328"/>
      <c r="AI32" s="328"/>
      <c r="AL32" s="214">
        <v>5125000</v>
      </c>
      <c r="AM32" s="215">
        <f t="shared" ref="AM32:AM33" si="4">(((AL32/26)/8)*150)/100</f>
        <v>36959.134615384617</v>
      </c>
      <c r="AN32" s="215"/>
      <c r="AO32" s="215">
        <f t="shared" ref="AO32:AO33" si="5">(((AL32/26)/8)*250%)/100%</f>
        <v>61598.557692307695</v>
      </c>
      <c r="AP32" s="212"/>
      <c r="AQ32" s="212"/>
      <c r="AR32" s="212"/>
      <c r="AS32" s="212"/>
      <c r="AT32" s="212"/>
      <c r="AU32" s="212"/>
      <c r="AV32" s="212"/>
      <c r="AW32" s="212"/>
    </row>
    <row r="33" spans="2:49" s="51" customFormat="1" ht="31.8" customHeight="1">
      <c r="B33" s="216">
        <v>4</v>
      </c>
      <c r="C33" s="220" t="s">
        <v>148</v>
      </c>
      <c r="D33" s="325">
        <v>11</v>
      </c>
      <c r="E33" s="326"/>
      <c r="F33" s="326"/>
      <c r="G33" s="326"/>
      <c r="H33" s="327"/>
      <c r="I33" s="325">
        <f>AM37*D33</f>
        <v>421875</v>
      </c>
      <c r="J33" s="326"/>
      <c r="K33" s="326"/>
      <c r="L33" s="326"/>
      <c r="M33" s="326"/>
      <c r="N33" s="327"/>
      <c r="O33" s="325">
        <v>7</v>
      </c>
      <c r="P33" s="326"/>
      <c r="Q33" s="326"/>
      <c r="R33" s="326"/>
      <c r="S33" s="326"/>
      <c r="T33" s="327"/>
      <c r="U33" s="325">
        <f>AO37*O33</f>
        <v>447443.18181818188</v>
      </c>
      <c r="V33" s="326"/>
      <c r="W33" s="326"/>
      <c r="X33" s="326"/>
      <c r="Y33" s="326"/>
      <c r="Z33" s="327"/>
      <c r="AA33" s="325">
        <f t="shared" si="3"/>
        <v>869318.18181818188</v>
      </c>
      <c r="AB33" s="326"/>
      <c r="AC33" s="326"/>
      <c r="AD33" s="326"/>
      <c r="AE33" s="326"/>
      <c r="AF33" s="327"/>
      <c r="AG33" s="328"/>
      <c r="AH33" s="328"/>
      <c r="AI33" s="328"/>
      <c r="AL33" s="214">
        <v>4250000</v>
      </c>
      <c r="AM33" s="215">
        <f t="shared" si="4"/>
        <v>30649.038461538465</v>
      </c>
      <c r="AN33" s="215"/>
      <c r="AO33" s="215">
        <f t="shared" si="5"/>
        <v>51081.730769230773</v>
      </c>
      <c r="AP33" s="212"/>
      <c r="AQ33" s="212"/>
      <c r="AR33" s="212"/>
      <c r="AS33" s="212"/>
      <c r="AT33" s="212"/>
      <c r="AU33" s="212"/>
      <c r="AV33" s="212"/>
      <c r="AW33" s="212"/>
    </row>
    <row r="34" spans="2:49" s="51" customFormat="1" ht="31.8" customHeight="1">
      <c r="B34" s="216">
        <v>5</v>
      </c>
      <c r="C34" s="219" t="s">
        <v>137</v>
      </c>
      <c r="D34" s="325">
        <v>11</v>
      </c>
      <c r="E34" s="326"/>
      <c r="F34" s="326"/>
      <c r="G34" s="326"/>
      <c r="H34" s="327"/>
      <c r="I34" s="325">
        <f>AM37*D34</f>
        <v>421875</v>
      </c>
      <c r="J34" s="326"/>
      <c r="K34" s="326"/>
      <c r="L34" s="326"/>
      <c r="M34" s="326"/>
      <c r="N34" s="327"/>
      <c r="O34" s="325"/>
      <c r="P34" s="326"/>
      <c r="Q34" s="326"/>
      <c r="R34" s="326"/>
      <c r="S34" s="326"/>
      <c r="T34" s="327"/>
      <c r="U34" s="325">
        <f>AO37*O34</f>
        <v>0</v>
      </c>
      <c r="V34" s="326"/>
      <c r="W34" s="326"/>
      <c r="X34" s="326"/>
      <c r="Y34" s="326"/>
      <c r="Z34" s="327"/>
      <c r="AA34" s="325">
        <f t="shared" si="3"/>
        <v>421875</v>
      </c>
      <c r="AB34" s="326"/>
      <c r="AC34" s="326"/>
      <c r="AD34" s="326"/>
      <c r="AE34" s="326"/>
      <c r="AF34" s="327"/>
      <c r="AG34" s="328"/>
      <c r="AH34" s="328"/>
      <c r="AI34" s="328"/>
      <c r="AP34" s="212"/>
      <c r="AQ34" s="212"/>
      <c r="AR34" s="212"/>
      <c r="AS34" s="212"/>
      <c r="AT34" s="212"/>
      <c r="AU34" s="212"/>
      <c r="AV34" s="212"/>
      <c r="AW34" s="212"/>
    </row>
    <row r="35" spans="2:49" s="51" customFormat="1" ht="30" customHeight="1">
      <c r="B35" s="216">
        <v>6</v>
      </c>
      <c r="C35" s="221" t="s">
        <v>147</v>
      </c>
      <c r="D35" s="325">
        <v>11</v>
      </c>
      <c r="E35" s="326"/>
      <c r="F35" s="326"/>
      <c r="G35" s="326"/>
      <c r="H35" s="327"/>
      <c r="I35" s="325">
        <f>AM36*D35</f>
        <v>398437.5</v>
      </c>
      <c r="J35" s="326"/>
      <c r="K35" s="326"/>
      <c r="L35" s="326"/>
      <c r="M35" s="326"/>
      <c r="N35" s="327"/>
      <c r="O35" s="325"/>
      <c r="P35" s="326"/>
      <c r="Q35" s="326"/>
      <c r="R35" s="326"/>
      <c r="S35" s="326"/>
      <c r="T35" s="327"/>
      <c r="U35" s="325">
        <f>AO36*O35</f>
        <v>0</v>
      </c>
      <c r="V35" s="326"/>
      <c r="W35" s="326"/>
      <c r="X35" s="326"/>
      <c r="Y35" s="326"/>
      <c r="Z35" s="327"/>
      <c r="AA35" s="325">
        <f t="shared" si="3"/>
        <v>398437.5</v>
      </c>
      <c r="AB35" s="326"/>
      <c r="AC35" s="326"/>
      <c r="AD35" s="326"/>
      <c r="AE35" s="326"/>
      <c r="AF35" s="327"/>
      <c r="AG35" s="328"/>
      <c r="AH35" s="328"/>
      <c r="AI35" s="328"/>
      <c r="AL35" s="213" t="s">
        <v>177</v>
      </c>
      <c r="AM35" s="213" t="s">
        <v>175</v>
      </c>
      <c r="AN35" s="213"/>
      <c r="AO35" s="213" t="s">
        <v>176</v>
      </c>
      <c r="AP35" s="212"/>
      <c r="AQ35" s="212"/>
      <c r="AR35" s="212"/>
      <c r="AS35" s="212"/>
      <c r="AT35" s="212"/>
      <c r="AU35" s="212"/>
      <c r="AV35" s="212"/>
      <c r="AW35" s="212"/>
    </row>
    <row r="36" spans="2:49" s="51" customFormat="1" ht="30" customHeight="1">
      <c r="B36" s="216">
        <v>7</v>
      </c>
      <c r="C36" s="219" t="s">
        <v>153</v>
      </c>
      <c r="D36" s="325">
        <v>11</v>
      </c>
      <c r="E36" s="326"/>
      <c r="F36" s="326"/>
      <c r="G36" s="326"/>
      <c r="H36" s="327"/>
      <c r="I36" s="325">
        <f>AM36*D36</f>
        <v>398437.5</v>
      </c>
      <c r="J36" s="326"/>
      <c r="K36" s="326"/>
      <c r="L36" s="326"/>
      <c r="M36" s="326"/>
      <c r="N36" s="327"/>
      <c r="O36" s="325"/>
      <c r="P36" s="326"/>
      <c r="Q36" s="326"/>
      <c r="R36" s="326"/>
      <c r="S36" s="326"/>
      <c r="T36" s="327"/>
      <c r="U36" s="325">
        <f>AO36*O36</f>
        <v>0</v>
      </c>
      <c r="V36" s="326"/>
      <c r="W36" s="326"/>
      <c r="X36" s="326"/>
      <c r="Y36" s="326"/>
      <c r="Z36" s="327"/>
      <c r="AA36" s="325">
        <f t="shared" si="3"/>
        <v>398437.5</v>
      </c>
      <c r="AB36" s="326"/>
      <c r="AC36" s="326"/>
      <c r="AD36" s="326"/>
      <c r="AE36" s="326"/>
      <c r="AF36" s="327"/>
      <c r="AG36" s="328"/>
      <c r="AH36" s="328"/>
      <c r="AI36" s="328"/>
      <c r="AL36" s="214">
        <v>4250000</v>
      </c>
      <c r="AM36" s="215">
        <f>(((AL36/22)/8)*150)/100</f>
        <v>36221.590909090912</v>
      </c>
      <c r="AN36" s="215"/>
      <c r="AO36" s="215">
        <f>(((AL36/22)/8)*250%)/100%</f>
        <v>60369.318181818177</v>
      </c>
      <c r="AP36" s="212"/>
      <c r="AQ36" s="212"/>
      <c r="AR36" s="212"/>
      <c r="AS36" s="212"/>
      <c r="AT36" s="212"/>
      <c r="AU36" s="212"/>
      <c r="AV36" s="212"/>
      <c r="AW36" s="212"/>
    </row>
    <row r="37" spans="2:49" s="51" customFormat="1" ht="30" customHeight="1">
      <c r="B37" s="216">
        <v>8</v>
      </c>
      <c r="C37" s="221" t="s">
        <v>144</v>
      </c>
      <c r="D37" s="325">
        <v>11</v>
      </c>
      <c r="E37" s="326"/>
      <c r="F37" s="326"/>
      <c r="G37" s="326"/>
      <c r="H37" s="327"/>
      <c r="I37" s="325">
        <f>AM36*D37</f>
        <v>398437.5</v>
      </c>
      <c r="J37" s="326"/>
      <c r="K37" s="326"/>
      <c r="L37" s="326"/>
      <c r="M37" s="326"/>
      <c r="N37" s="327"/>
      <c r="O37" s="325"/>
      <c r="P37" s="326"/>
      <c r="Q37" s="326"/>
      <c r="R37" s="326"/>
      <c r="S37" s="326"/>
      <c r="T37" s="327"/>
      <c r="U37" s="325">
        <f>AO36*O37</f>
        <v>0</v>
      </c>
      <c r="V37" s="326"/>
      <c r="W37" s="326"/>
      <c r="X37" s="326"/>
      <c r="Y37" s="326"/>
      <c r="Z37" s="327"/>
      <c r="AA37" s="325">
        <f t="shared" si="3"/>
        <v>398437.5</v>
      </c>
      <c r="AB37" s="326"/>
      <c r="AC37" s="326"/>
      <c r="AD37" s="326"/>
      <c r="AE37" s="326"/>
      <c r="AF37" s="327"/>
      <c r="AG37" s="328"/>
      <c r="AH37" s="328"/>
      <c r="AI37" s="328"/>
      <c r="AL37" s="214">
        <v>4500000</v>
      </c>
      <c r="AM37" s="215">
        <f>(((AL37/22)/8)*150%)/100%</f>
        <v>38352.272727272728</v>
      </c>
      <c r="AN37" s="215"/>
      <c r="AO37" s="215">
        <f>(((AL37/22)/8)*250%)/100%</f>
        <v>63920.454545454551</v>
      </c>
      <c r="AP37" s="212"/>
      <c r="AQ37" s="212"/>
      <c r="AR37" s="212"/>
      <c r="AS37" s="212"/>
      <c r="AT37" s="212"/>
      <c r="AU37" s="212"/>
      <c r="AV37" s="212"/>
      <c r="AW37" s="212"/>
    </row>
    <row r="38" spans="2:49" s="51" customFormat="1" ht="30" customHeight="1">
      <c r="AP38" s="212"/>
      <c r="AQ38" s="212"/>
      <c r="AR38" s="212"/>
      <c r="AS38" s="212"/>
      <c r="AT38" s="212"/>
      <c r="AU38" s="212"/>
      <c r="AV38" s="212"/>
      <c r="AW38" s="212"/>
    </row>
    <row r="39" spans="2:49" ht="30" customHeight="1">
      <c r="AP39" s="129"/>
      <c r="AQ39" s="129"/>
      <c r="AR39" s="129"/>
      <c r="AS39" s="129"/>
      <c r="AT39" s="178"/>
      <c r="AU39" s="129"/>
      <c r="AV39" s="129"/>
      <c r="AW39" s="129"/>
    </row>
    <row r="40" spans="2:49" ht="30" customHeight="1">
      <c r="AP40" s="129"/>
      <c r="AQ40" s="129"/>
      <c r="AR40" s="129"/>
      <c r="AS40" s="129"/>
      <c r="AT40" s="178"/>
      <c r="AU40" s="129"/>
      <c r="AV40" s="129"/>
      <c r="AW40" s="129"/>
    </row>
    <row r="41" spans="2:49" ht="30" customHeight="1">
      <c r="AP41" s="129"/>
      <c r="AQ41" s="129"/>
      <c r="AR41" s="129"/>
      <c r="AS41" s="129"/>
      <c r="AT41" s="178"/>
      <c r="AU41" s="129"/>
      <c r="AV41" s="129"/>
      <c r="AW41" s="129"/>
    </row>
    <row r="42" spans="2:49" ht="30" customHeight="1">
      <c r="AL42" s="129"/>
      <c r="AM42" s="129"/>
      <c r="AN42" s="129"/>
      <c r="AO42" s="129"/>
      <c r="AP42" s="129"/>
      <c r="AQ42" s="129"/>
      <c r="AR42" s="129"/>
      <c r="AS42" s="129"/>
      <c r="AT42" s="178"/>
      <c r="AU42" s="129"/>
      <c r="AV42" s="129"/>
      <c r="AW42" s="129"/>
    </row>
    <row r="43" spans="2:49" ht="30" customHeight="1">
      <c r="AJ43" s="129"/>
      <c r="AK43" s="129"/>
      <c r="AL43" s="129"/>
      <c r="AM43" s="129"/>
      <c r="AN43" s="129"/>
      <c r="AO43" s="129"/>
      <c r="AP43" s="129"/>
      <c r="AQ43" s="129"/>
      <c r="AR43" s="129"/>
      <c r="AS43" s="129"/>
      <c r="AT43" s="178"/>
      <c r="AU43" s="129"/>
      <c r="AV43" s="129"/>
      <c r="AW43" s="129"/>
    </row>
    <row r="44" spans="2:49" ht="30" customHeight="1">
      <c r="AJ44" s="129"/>
      <c r="AK44" s="129"/>
      <c r="AL44" s="129"/>
      <c r="AM44" s="129"/>
      <c r="AN44" s="129"/>
      <c r="AO44" s="129"/>
      <c r="AP44" s="129"/>
      <c r="AQ44" s="129"/>
      <c r="AR44" s="129"/>
      <c r="AS44" s="129"/>
      <c r="AT44" s="178"/>
      <c r="AU44" s="129"/>
      <c r="AV44" s="129"/>
      <c r="AW44" s="129"/>
    </row>
    <row r="45" spans="2:49" ht="30" customHeight="1">
      <c r="AJ45" s="129"/>
      <c r="AK45" s="129"/>
      <c r="AL45" s="129"/>
      <c r="AM45" s="129"/>
      <c r="AN45" s="129"/>
      <c r="AO45" s="129"/>
      <c r="AP45" s="129"/>
      <c r="AQ45" s="129"/>
      <c r="AR45" s="129"/>
      <c r="AS45" s="129"/>
      <c r="AT45" s="178"/>
      <c r="AU45" s="129"/>
      <c r="AV45" s="129"/>
      <c r="AW45" s="129"/>
    </row>
    <row r="46" spans="2:49" ht="30" customHeight="1">
      <c r="AJ46" s="129"/>
      <c r="AK46" s="129"/>
      <c r="AL46" s="129"/>
      <c r="AM46" s="129"/>
      <c r="AN46" s="129"/>
      <c r="AO46" s="129"/>
      <c r="AP46" s="129"/>
      <c r="AQ46" s="129"/>
      <c r="AR46" s="129"/>
      <c r="AS46" s="129"/>
      <c r="AT46" s="178"/>
      <c r="AU46" s="129"/>
      <c r="AV46" s="129"/>
      <c r="AW46" s="129"/>
    </row>
    <row r="47" spans="2:49" ht="30" customHeight="1">
      <c r="AJ47" s="129"/>
      <c r="AK47" s="129"/>
      <c r="AL47" s="129"/>
      <c r="AM47" s="129"/>
      <c r="AN47" s="129"/>
      <c r="AO47" s="129"/>
      <c r="AP47" s="129"/>
      <c r="AQ47" s="129"/>
      <c r="AR47" s="129"/>
      <c r="AS47" s="129"/>
      <c r="AT47" s="178"/>
      <c r="AU47" s="129"/>
      <c r="AV47" s="129"/>
      <c r="AW47" s="129"/>
    </row>
    <row r="48" spans="2:49" ht="30" customHeight="1">
      <c r="AJ48" s="129"/>
      <c r="AK48" s="129"/>
      <c r="AL48" s="129"/>
      <c r="AM48" s="129"/>
      <c r="AN48" s="129"/>
      <c r="AO48" s="129"/>
      <c r="AP48" s="129"/>
      <c r="AQ48" s="129"/>
      <c r="AR48" s="129"/>
      <c r="AS48" s="129"/>
      <c r="AT48" s="178"/>
      <c r="AU48" s="129"/>
      <c r="AV48" s="129"/>
      <c r="AW48" s="129"/>
    </row>
    <row r="49" spans="36:49" ht="30" customHeight="1">
      <c r="AJ49" s="129"/>
      <c r="AK49" s="129"/>
      <c r="AL49" s="129"/>
      <c r="AM49" s="129"/>
      <c r="AN49" s="129"/>
      <c r="AO49" s="129"/>
      <c r="AP49" s="129"/>
      <c r="AQ49" s="129"/>
      <c r="AR49" s="129"/>
      <c r="AS49" s="129"/>
      <c r="AT49" s="178"/>
      <c r="AU49" s="129"/>
      <c r="AV49" s="129"/>
      <c r="AW49" s="129"/>
    </row>
    <row r="50" spans="36:49" ht="30" customHeight="1">
      <c r="AJ50" s="129"/>
      <c r="AK50" s="129"/>
      <c r="AU50" s="129"/>
      <c r="AV50" s="129"/>
      <c r="AW50" s="129"/>
    </row>
  </sheetData>
  <mergeCells count="70">
    <mergeCell ref="O32:T32"/>
    <mergeCell ref="U32:Z32"/>
    <mergeCell ref="AA32:AF32"/>
    <mergeCell ref="O33:T33"/>
    <mergeCell ref="U33:Z33"/>
    <mergeCell ref="AA33:AF33"/>
    <mergeCell ref="AG37:AI37"/>
    <mergeCell ref="AG28:AI28"/>
    <mergeCell ref="AG29:AI29"/>
    <mergeCell ref="AG30:AI30"/>
    <mergeCell ref="AG31:AI31"/>
    <mergeCell ref="AG32:AI32"/>
    <mergeCell ref="AG33:AI33"/>
    <mergeCell ref="AG34:AI34"/>
    <mergeCell ref="AG35:AI35"/>
    <mergeCell ref="AG36:AI36"/>
    <mergeCell ref="O37:T37"/>
    <mergeCell ref="U37:Z37"/>
    <mergeCell ref="AA37:AF37"/>
    <mergeCell ref="O34:T34"/>
    <mergeCell ref="U34:Z34"/>
    <mergeCell ref="AA34:AF34"/>
    <mergeCell ref="O35:T35"/>
    <mergeCell ref="U35:Z35"/>
    <mergeCell ref="AA35:AF35"/>
    <mergeCell ref="O36:T36"/>
    <mergeCell ref="U36:Z36"/>
    <mergeCell ref="AA36:AF36"/>
    <mergeCell ref="D37:H37"/>
    <mergeCell ref="I29:N29"/>
    <mergeCell ref="I30:N30"/>
    <mergeCell ref="I31:N31"/>
    <mergeCell ref="I32:N32"/>
    <mergeCell ref="I33:N33"/>
    <mergeCell ref="I34:N34"/>
    <mergeCell ref="I35:N35"/>
    <mergeCell ref="I36:N36"/>
    <mergeCell ref="I37:N37"/>
    <mergeCell ref="D36:H36"/>
    <mergeCell ref="D32:H32"/>
    <mergeCell ref="D33:H33"/>
    <mergeCell ref="D34:H34"/>
    <mergeCell ref="D35:H35"/>
    <mergeCell ref="D29:H29"/>
    <mergeCell ref="D28:N28"/>
    <mergeCell ref="O28:Z28"/>
    <mergeCell ref="AA28:AF28"/>
    <mergeCell ref="O31:T31"/>
    <mergeCell ref="U31:Z31"/>
    <mergeCell ref="O29:T29"/>
    <mergeCell ref="U29:Z29"/>
    <mergeCell ref="D30:H30"/>
    <mergeCell ref="D31:H31"/>
    <mergeCell ref="AA29:AF29"/>
    <mergeCell ref="O30:T30"/>
    <mergeCell ref="U30:Z30"/>
    <mergeCell ref="AA30:AF30"/>
    <mergeCell ref="AA31:AF31"/>
    <mergeCell ref="AS6:AT7"/>
    <mergeCell ref="E6:AI6"/>
    <mergeCell ref="E4:G4"/>
    <mergeCell ref="M4:O4"/>
    <mergeCell ref="Q4:S4"/>
    <mergeCell ref="U4:W4"/>
    <mergeCell ref="I5:K5"/>
    <mergeCell ref="M5:O5"/>
    <mergeCell ref="Q5:S5"/>
    <mergeCell ref="U5:W5"/>
    <mergeCell ref="X5:AC5"/>
    <mergeCell ref="AD5:AI5"/>
  </mergeCells>
  <conditionalFormatting sqref="D9:AB24 AD9:AH24">
    <cfRule type="expression" priority="7" stopIfTrue="1">
      <formula>D9=""</formula>
    </cfRule>
    <cfRule type="expression" dxfId="884" priority="8" stopIfTrue="1">
      <formula>D9=KeyCustom2</formula>
    </cfRule>
    <cfRule type="expression" dxfId="883" priority="9" stopIfTrue="1">
      <formula>D9=KeyCustom1</formula>
    </cfRule>
    <cfRule type="expression" dxfId="882" priority="10" stopIfTrue="1">
      <formula>D9=KeySick</formula>
    </cfRule>
    <cfRule type="expression" dxfId="881" priority="11" stopIfTrue="1">
      <formula>D9=KeyPersonal</formula>
    </cfRule>
    <cfRule type="expression" dxfId="880" priority="12" stopIfTrue="1">
      <formula>D9=KeyVacation</formula>
    </cfRule>
  </conditionalFormatting>
  <conditionalFormatting sqref="AI9:AI24">
    <cfRule type="dataBar" priority="13">
      <dataBar>
        <cfvo type="min"/>
        <cfvo type="formula" val="DATEDIF(DATE(CalendarYear,2,1),DATE(CalendarYear,3,1),&quot;d&quot;)"/>
        <color theme="2" tint="-0.249977111117893"/>
      </dataBar>
      <extLst>
        <ext xmlns:x14="http://schemas.microsoft.com/office/spreadsheetml/2009/9/main" uri="{B025F937-C7B1-47D3-B67F-A62EFF666E3E}">
          <x14:id>{27D92E49-5CF1-46DF-AD7A-3A5E92F274F3}</x14:id>
        </ext>
      </extLst>
    </cfRule>
  </conditionalFormatting>
  <conditionalFormatting sqref="AC9:AC24">
    <cfRule type="expression" priority="1" stopIfTrue="1">
      <formula>AC9=""</formula>
    </cfRule>
    <cfRule type="expression" dxfId="879" priority="2" stopIfTrue="1">
      <formula>AC9=KeyCustom2</formula>
    </cfRule>
    <cfRule type="expression" dxfId="878" priority="3" stopIfTrue="1">
      <formula>AC9=KeyCustom1</formula>
    </cfRule>
    <cfRule type="expression" dxfId="877" priority="4" stopIfTrue="1">
      <formula>AC9=KeySick</formula>
    </cfRule>
    <cfRule type="expression" dxfId="876" priority="5" stopIfTrue="1">
      <formula>AC9=KeyPersonal</formula>
    </cfRule>
    <cfRule type="expression" dxfId="875" priority="6" stopIfTrue="1">
      <formula>AC9=KeyVacation</formula>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D8"/>
    <dataValidation allowBlank="1" showInputMessage="1" showErrorMessage="1" prompt="Month name for this absence schedule is in this cell. Absence totals for this month are in last cell of the table. Select employee names in table column B" sqref="D2"/>
    <dataValidation allowBlank="1" showInputMessage="1" showErrorMessage="1" prompt="This row defines the keys used in the table: cell C4 is Vacation, G4 is Personal, &amp; K4 is Sick leave. Cells N4 &amp; R4 are customizable " sqref="C4"/>
    <dataValidation allowBlank="1" showInputMessage="1" showErrorMessage="1" prompt="Enter a label to describe the custom key at left" sqref="I4:K4"/>
    <dataValidation allowBlank="1" showInputMessage="1" showErrorMessage="1" prompt="The letter &quot;S&quot; indicates absence due to illness" sqref="L4 P4 T4"/>
    <dataValidation allowBlank="1" showInputMessage="1" showErrorMessage="1" prompt="The letter &quot;P&quot; indicates absence due to personal reasons" sqref="H4"/>
    <dataValidation allowBlank="1" showInputMessage="1" showErrorMessage="1" prompt="The letter &quot;V&quot; indicates absence due to vacation" sqref="D4"/>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C8"/>
    <dataValidation allowBlank="1" showInputMessage="1" showErrorMessage="1" prompt="Automatically calculates total number of days an employee was absent this month in this column" sqref="AI8"/>
    <dataValidation allowBlank="1" showInputMessage="1" showErrorMessage="1" prompt="Automatically updated year based on year entered in January worksheet" sqref="AJ6"/>
    <dataValidation allowBlank="1" showInputMessage="1" showErrorMessage="1" prompt="Weekdays in this row are automatically updated for the month according to the year in AH4. Each day of the month is a column to note an employee's absence and absence type" sqref="D7"/>
    <dataValidation allowBlank="1" showInputMessage="1" showErrorMessage="1" prompt="Title of the worksheet is in this cell. " sqref="D1"/>
    <dataValidation allowBlank="1" showInputMessage="1" showErrorMessage="1" prompt="Track October absence in this worksheet" sqref="C1"/>
    <dataValidation type="list" allowBlank="1" showInputMessage="1" showErrorMessage="1" sqref="C29:C37">
      <formula1>$C$5:$C$21</formula1>
    </dataValidation>
  </dataValidations>
  <printOptions horizontalCentered="1"/>
  <pageMargins left="0.25" right="0.25" top="0.75" bottom="0.75" header="0.3" footer="0.3"/>
  <pageSetup paperSize="9" scale="69"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7D92E49-5CF1-46DF-AD7A-3A5E92F274F3}">
            <x14:dataBar minLength="0" maxLength="100">
              <x14:cfvo type="autoMin"/>
              <x14:cfvo type="formula">
                <xm:f>DATEDIF(DATE(CalendarYear,2,1),DATE(CalendarYear,3,1),"d")</xm:f>
              </x14:cfvo>
              <x14:negativeFillColor rgb="FFFF0000"/>
              <x14:axisColor rgb="FF000000"/>
            </x14:dataBar>
          </x14:cfRule>
          <xm:sqref>AI9:AI24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names'!$C$5:$C$23</xm:f>
          </x14:formula1>
          <xm:sqref>C9:C24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pageSetUpPr fitToPage="1"/>
  </sheetPr>
  <dimension ref="B1:AT39"/>
  <sheetViews>
    <sheetView showGridLines="0" zoomScale="79" zoomScaleNormal="100" workbookViewId="0">
      <selection activeCell="C7" sqref="C7:AG8"/>
    </sheetView>
  </sheetViews>
  <sheetFormatPr defaultColWidth="8.77734375" defaultRowHeight="30" customHeight="1"/>
  <cols>
    <col min="1" max="1" width="2.6640625" customWidth="1"/>
    <col min="2" max="2" width="25.6640625" customWidth="1"/>
    <col min="3" max="33" width="4.6640625" customWidth="1"/>
    <col min="34" max="34" width="13.44140625" customWidth="1"/>
    <col min="35" max="35" width="9.5546875" customWidth="1"/>
    <col min="36" max="36" width="1.6640625" customWidth="1"/>
    <col min="37" max="37" width="18" customWidth="1"/>
    <col min="38" max="38" width="13.33203125" bestFit="1" customWidth="1"/>
    <col min="39" max="40" width="11.5546875" customWidth="1"/>
    <col min="41" max="41" width="12.109375" customWidth="1"/>
    <col min="42" max="42" width="13.109375" customWidth="1"/>
  </cols>
  <sheetData>
    <row r="1" spans="2:43" ht="20.399999999999999" customHeight="1">
      <c r="B1" s="24" t="s">
        <v>53</v>
      </c>
    </row>
    <row r="2" spans="2:43" ht="55.2" customHeight="1">
      <c r="B2" s="131" t="s">
        <v>51</v>
      </c>
    </row>
    <row r="3" spans="2:43" ht="15" customHeight="1" thickBot="1">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row>
    <row r="4" spans="2:43" ht="14.4" customHeight="1">
      <c r="B4" s="7" t="s">
        <v>54</v>
      </c>
      <c r="C4" s="39" t="s">
        <v>32</v>
      </c>
      <c r="D4" s="293" t="s">
        <v>37</v>
      </c>
      <c r="E4" s="293"/>
      <c r="F4" s="294"/>
      <c r="G4" s="34" t="s">
        <v>74</v>
      </c>
      <c r="H4" s="40" t="s">
        <v>73</v>
      </c>
      <c r="I4" s="41"/>
      <c r="J4" s="42"/>
      <c r="K4" s="38" t="s">
        <v>31</v>
      </c>
      <c r="L4" s="297" t="s">
        <v>75</v>
      </c>
      <c r="M4" s="297"/>
      <c r="N4" s="298"/>
      <c r="O4" s="38"/>
      <c r="P4" s="297"/>
      <c r="Q4" s="297"/>
      <c r="R4" s="298"/>
      <c r="S4" s="38"/>
      <c r="T4" s="297"/>
      <c r="U4" s="297"/>
      <c r="V4" s="297"/>
      <c r="W4" s="72" t="s">
        <v>86</v>
      </c>
      <c r="X4" s="70"/>
      <c r="Y4" s="70"/>
      <c r="Z4" s="70"/>
      <c r="AA4" s="70"/>
      <c r="AB4" s="71"/>
      <c r="AC4" s="72" t="s">
        <v>88</v>
      </c>
      <c r="AD4" s="70"/>
      <c r="AE4" s="70"/>
      <c r="AF4" s="70"/>
      <c r="AG4" s="70"/>
      <c r="AH4" s="70"/>
      <c r="AI4" s="77" t="s">
        <v>89</v>
      </c>
    </row>
    <row r="5" spans="2:43" ht="15" customHeight="1" thickBot="1">
      <c r="B5" s="8"/>
      <c r="C5" s="35"/>
      <c r="D5" s="36"/>
      <c r="E5" s="36"/>
      <c r="F5" s="37"/>
      <c r="G5" s="35"/>
      <c r="H5" s="295"/>
      <c r="I5" s="295"/>
      <c r="J5" s="296"/>
      <c r="K5" s="35"/>
      <c r="L5" s="295"/>
      <c r="M5" s="295"/>
      <c r="N5" s="296"/>
      <c r="O5" s="35"/>
      <c r="P5" s="295"/>
      <c r="Q5" s="295"/>
      <c r="R5" s="296"/>
      <c r="S5" s="35"/>
      <c r="T5" s="295"/>
      <c r="U5" s="295"/>
      <c r="V5" s="295"/>
      <c r="W5" s="286"/>
      <c r="X5" s="287"/>
      <c r="Y5" s="287"/>
      <c r="Z5" s="287"/>
      <c r="AA5" s="287"/>
      <c r="AB5" s="288"/>
      <c r="AC5" s="290">
        <f>W5/June[[#Totals],[Working Day]]</f>
        <v>0</v>
      </c>
      <c r="AD5" s="291"/>
      <c r="AE5" s="291"/>
      <c r="AF5" s="291"/>
      <c r="AG5" s="291"/>
      <c r="AH5" s="291"/>
      <c r="AI5" s="78">
        <v>20000</v>
      </c>
    </row>
    <row r="6" spans="2:43" ht="29.4" customHeight="1">
      <c r="B6" s="6"/>
      <c r="C6" s="283" t="s">
        <v>55</v>
      </c>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6">
        <f ca="1">CalendarYear</f>
        <v>2026</v>
      </c>
      <c r="AP6" s="289"/>
      <c r="AQ6" s="289"/>
    </row>
    <row r="7" spans="2:43" ht="30" customHeight="1">
      <c r="B7" s="6"/>
      <c r="C7" s="21" t="str">
        <f ca="1">TEXT(WEEKDAY(DATE(CalendarYear,12,1),1),"aaa")</f>
        <v>Tue</v>
      </c>
      <c r="D7" s="21" t="str">
        <f ca="1">TEXT(WEEKDAY(DATE(CalendarYear,12,2),1),"aaa")</f>
        <v>Wed</v>
      </c>
      <c r="E7" s="21" t="str">
        <f ca="1">TEXT(WEEKDAY(DATE(CalendarYear,12,3),1),"aaa")</f>
        <v>Thu</v>
      </c>
      <c r="F7" s="21" t="str">
        <f ca="1">TEXT(WEEKDAY(DATE(CalendarYear,12,4),1),"aaa")</f>
        <v>Fri</v>
      </c>
      <c r="G7" s="21" t="str">
        <f ca="1">TEXT(WEEKDAY(DATE(CalendarYear,12,5),1),"aaa")</f>
        <v>Sat</v>
      </c>
      <c r="H7" s="21" t="str">
        <f ca="1">TEXT(WEEKDAY(DATE(CalendarYear,12,6),1),"aaa")</f>
        <v>Sun</v>
      </c>
      <c r="I7" s="21" t="str">
        <f ca="1">TEXT(WEEKDAY(DATE(CalendarYear,12,7),1),"aaa")</f>
        <v>Mon</v>
      </c>
      <c r="J7" s="21" t="str">
        <f ca="1">TEXT(WEEKDAY(DATE(CalendarYear,12,8),1),"aaa")</f>
        <v>Tue</v>
      </c>
      <c r="K7" s="21" t="str">
        <f ca="1">TEXT(WEEKDAY(DATE(CalendarYear,12,9),1),"aaa")</f>
        <v>Wed</v>
      </c>
      <c r="L7" s="21" t="str">
        <f ca="1">TEXT(WEEKDAY(DATE(CalendarYear,12,10),1),"aaa")</f>
        <v>Thu</v>
      </c>
      <c r="M7" s="21" t="str">
        <f ca="1">TEXT(WEEKDAY(DATE(CalendarYear,12,11),1),"aaa")</f>
        <v>Fri</v>
      </c>
      <c r="N7" s="21" t="str">
        <f ca="1">TEXT(WEEKDAY(DATE(CalendarYear,12,12),1),"aaa")</f>
        <v>Sat</v>
      </c>
      <c r="O7" s="21" t="str">
        <f ca="1">TEXT(WEEKDAY(DATE(CalendarYear,12,13),1),"aaa")</f>
        <v>Sun</v>
      </c>
      <c r="P7" s="21" t="str">
        <f ca="1">TEXT(WEEKDAY(DATE(CalendarYear,12,14),1),"aaa")</f>
        <v>Mon</v>
      </c>
      <c r="Q7" s="21" t="str">
        <f ca="1">TEXT(WEEKDAY(DATE(CalendarYear,12,15),1),"aaa")</f>
        <v>Tue</v>
      </c>
      <c r="R7" s="21" t="str">
        <f ca="1">TEXT(WEEKDAY(DATE(CalendarYear,12,16),1),"aaa")</f>
        <v>Wed</v>
      </c>
      <c r="S7" s="21" t="str">
        <f ca="1">TEXT(WEEKDAY(DATE(CalendarYear,12,17),1),"aaa")</f>
        <v>Thu</v>
      </c>
      <c r="T7" s="21" t="str">
        <f ca="1">TEXT(WEEKDAY(DATE(CalendarYear,12,18),1),"aaa")</f>
        <v>Fri</v>
      </c>
      <c r="U7" s="21" t="str">
        <f ca="1">TEXT(WEEKDAY(DATE(CalendarYear,12,19),1),"aaa")</f>
        <v>Sat</v>
      </c>
      <c r="V7" s="21" t="str">
        <f ca="1">TEXT(WEEKDAY(DATE(CalendarYear,12,20),1),"aaa")</f>
        <v>Sun</v>
      </c>
      <c r="W7" s="21" t="str">
        <f ca="1">TEXT(WEEKDAY(DATE(CalendarYear,12,21),1),"aaa")</f>
        <v>Mon</v>
      </c>
      <c r="X7" s="21" t="str">
        <f ca="1">TEXT(WEEKDAY(DATE(CalendarYear,12,22),1),"aaa")</f>
        <v>Tue</v>
      </c>
      <c r="Y7" s="21" t="str">
        <f ca="1">TEXT(WEEKDAY(DATE(CalendarYear,12,23),1),"aaa")</f>
        <v>Wed</v>
      </c>
      <c r="Z7" s="21" t="str">
        <f ca="1">TEXT(WEEKDAY(DATE(CalendarYear,12,24),1),"aaa")</f>
        <v>Thu</v>
      </c>
      <c r="AA7" s="21" t="str">
        <f ca="1">TEXT(WEEKDAY(DATE(CalendarYear,12,25),1),"aaa")</f>
        <v>Fri</v>
      </c>
      <c r="AB7" s="21" t="str">
        <f ca="1">TEXT(WEEKDAY(DATE(CalendarYear,12,26),1),"aaa")</f>
        <v>Sat</v>
      </c>
      <c r="AC7" s="21" t="str">
        <f ca="1">TEXT(WEEKDAY(DATE(CalendarYear,12,27),1),"aaa")</f>
        <v>Sun</v>
      </c>
      <c r="AD7" s="21" t="str">
        <f ca="1">TEXT(WEEKDAY(DATE(CalendarYear,12,28),1),"aaa")</f>
        <v>Mon</v>
      </c>
      <c r="AE7" s="21" t="str">
        <f ca="1">TEXT(WEEKDAY(DATE(CalendarYear,12,29),1),"aaa")</f>
        <v>Tue</v>
      </c>
      <c r="AF7" s="21" t="str">
        <f ca="1">TEXT(WEEKDAY(DATE(CalendarYear,12,30),1),"aaa")</f>
        <v>Wed</v>
      </c>
      <c r="AG7" s="21" t="str">
        <f ca="1">TEXT(WEEKDAY(DATE(CalendarYear,12,31),1),"aaa")</f>
        <v>Thu</v>
      </c>
      <c r="AH7" s="6"/>
      <c r="AP7" s="289"/>
      <c r="AQ7" s="289"/>
    </row>
    <row r="8" spans="2:43" ht="30" customHeight="1">
      <c r="B8" s="20" t="s">
        <v>61</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30</v>
      </c>
      <c r="AH8" s="22" t="s">
        <v>62</v>
      </c>
      <c r="AK8" s="75" t="s">
        <v>87</v>
      </c>
      <c r="AL8" s="53" t="s">
        <v>76</v>
      </c>
      <c r="AM8" s="54" t="s">
        <v>77</v>
      </c>
      <c r="AN8" s="54" t="s">
        <v>78</v>
      </c>
      <c r="AO8" s="126" t="s">
        <v>99</v>
      </c>
      <c r="AP8" s="73" t="s">
        <v>85</v>
      </c>
    </row>
    <row r="9" spans="2:43" ht="30" customHeight="1">
      <c r="B9" s="2" t="s">
        <v>56</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3">
        <f>COUNTA(December[[#This Row],[1]:[31]])</f>
        <v>0</v>
      </c>
      <c r="AK9" s="76"/>
      <c r="AL9" s="76"/>
      <c r="AM9" s="76"/>
      <c r="AN9" s="76"/>
      <c r="AO9" s="76"/>
      <c r="AP9" s="76">
        <f>$AC$5*June[[#This Row],[Working Day]]</f>
        <v>0</v>
      </c>
    </row>
    <row r="10" spans="2:43" ht="30" customHeight="1">
      <c r="B10" s="2" t="s">
        <v>57</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3">
        <f>COUNTA(December[[#This Row],[1]:[31]])</f>
        <v>0</v>
      </c>
      <c r="AK10" s="76">
        <f>SUM(AL10:AP10)</f>
        <v>5310000</v>
      </c>
      <c r="AL10" s="76">
        <v>4500000</v>
      </c>
      <c r="AM10" s="76">
        <f>$AI$5*August[[#This Row],[Total days]]</f>
        <v>260000</v>
      </c>
      <c r="AN10" s="76">
        <v>50000</v>
      </c>
      <c r="AO10" s="76">
        <v>500000</v>
      </c>
      <c r="AP10" s="76">
        <f>$AC$5*June[[#This Row],[Working Day]]</f>
        <v>0</v>
      </c>
    </row>
    <row r="11" spans="2:43" ht="30" customHeight="1">
      <c r="B11" s="2" t="s">
        <v>58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3">
        <f>COUNTA(December[[#This Row],[1]:[31]])</f>
        <v>0</v>
      </c>
      <c r="AK11" s="76">
        <f t="shared" ref="AK11:AK14" si="0">SUM(AL11:AP11)</f>
        <v>6530000</v>
      </c>
      <c r="AL11" s="76">
        <v>5500000</v>
      </c>
      <c r="AM11" s="76">
        <f>$AI$5*August[[#This Row],[Total days]]</f>
        <v>480000</v>
      </c>
      <c r="AN11" s="76">
        <v>50000</v>
      </c>
      <c r="AO11" s="76">
        <v>500000</v>
      </c>
      <c r="AP11" s="76">
        <f>$AC$5*June[[#This Row],[Working Day]]</f>
        <v>0</v>
      </c>
    </row>
    <row r="12" spans="2:43" ht="30" customHeight="1">
      <c r="B12" s="2" t="s">
        <v>59</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3">
        <f>COUNTA(December[[#This Row],[1]:[31]])</f>
        <v>0</v>
      </c>
      <c r="AK12" s="76">
        <f t="shared" si="0"/>
        <v>4990000</v>
      </c>
      <c r="AL12" s="76">
        <v>4000000</v>
      </c>
      <c r="AM12" s="76">
        <f>$AI$5*August[[#This Row],[Total days]]</f>
        <v>440000</v>
      </c>
      <c r="AN12" s="76">
        <v>50000</v>
      </c>
      <c r="AO12" s="76">
        <v>500000</v>
      </c>
      <c r="AP12" s="76">
        <f>$AC$5*June[[#This Row],[Working Day]]</f>
        <v>0</v>
      </c>
    </row>
    <row r="13" spans="2:43" ht="30" customHeight="1">
      <c r="B13" s="2" t="s">
        <v>60</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3">
        <f>COUNTA(December[[#This Row],[1]:[31]])</f>
        <v>0</v>
      </c>
      <c r="AK13" s="76">
        <f t="shared" si="0"/>
        <v>6050000</v>
      </c>
      <c r="AL13" s="76">
        <v>5000000</v>
      </c>
      <c r="AM13" s="76">
        <f>$AI$5*August[[#This Row],[Total days]]</f>
        <v>500000</v>
      </c>
      <c r="AN13" s="76">
        <v>50000</v>
      </c>
      <c r="AO13" s="76">
        <v>500000</v>
      </c>
      <c r="AP13" s="76">
        <f>$AC$5*June[[#This Row],[Working Day]]</f>
        <v>0</v>
      </c>
    </row>
    <row r="14" spans="2:43" ht="30" customHeight="1">
      <c r="B14" s="5" t="str">
        <f>MonthName&amp;" Total"</f>
        <v>December Total</v>
      </c>
      <c r="C14" s="4">
        <f>SUBTOTAL(103,December[1])</f>
        <v>0</v>
      </c>
      <c r="D14" s="4">
        <f>SUBTOTAL(103,December[2])</f>
        <v>0</v>
      </c>
      <c r="E14" s="4">
        <f>SUBTOTAL(103,December[3])</f>
        <v>0</v>
      </c>
      <c r="F14" s="4">
        <f>SUBTOTAL(103,December[4])</f>
        <v>0</v>
      </c>
      <c r="G14" s="4">
        <f>SUBTOTAL(103,December[5])</f>
        <v>0</v>
      </c>
      <c r="H14" s="4">
        <f>SUBTOTAL(103,December[6])</f>
        <v>0</v>
      </c>
      <c r="I14" s="4">
        <f>SUBTOTAL(103,December[7])</f>
        <v>0</v>
      </c>
      <c r="J14" s="4">
        <f>SUBTOTAL(103,December[8])</f>
        <v>0</v>
      </c>
      <c r="K14" s="4">
        <f>SUBTOTAL(103,December[9])</f>
        <v>0</v>
      </c>
      <c r="L14" s="4">
        <f>SUBTOTAL(103,December[10])</f>
        <v>0</v>
      </c>
      <c r="M14" s="4">
        <f>SUBTOTAL(103,December[11])</f>
        <v>0</v>
      </c>
      <c r="N14" s="4">
        <f>SUBTOTAL(103,December[12])</f>
        <v>0</v>
      </c>
      <c r="O14" s="4">
        <f>SUBTOTAL(103,December[13])</f>
        <v>0</v>
      </c>
      <c r="P14" s="4">
        <f>SUBTOTAL(103,December[14])</f>
        <v>0</v>
      </c>
      <c r="Q14" s="4">
        <f>SUBTOTAL(103,December[15])</f>
        <v>0</v>
      </c>
      <c r="R14" s="4">
        <f>SUBTOTAL(103,December[16])</f>
        <v>0</v>
      </c>
      <c r="S14" s="4">
        <f>SUBTOTAL(103,December[17])</f>
        <v>0</v>
      </c>
      <c r="T14" s="4">
        <f>SUBTOTAL(103,December[18])</f>
        <v>0</v>
      </c>
      <c r="U14" s="4">
        <f>SUBTOTAL(103,December[19])</f>
        <v>0</v>
      </c>
      <c r="V14" s="4">
        <f>SUBTOTAL(103,December[20])</f>
        <v>0</v>
      </c>
      <c r="W14" s="4">
        <f>SUBTOTAL(103,December[21])</f>
        <v>0</v>
      </c>
      <c r="X14" s="4">
        <f>SUBTOTAL(103,December[22])</f>
        <v>0</v>
      </c>
      <c r="Y14" s="4">
        <f>SUBTOTAL(103,December[23])</f>
        <v>0</v>
      </c>
      <c r="Z14" s="4">
        <f>SUBTOTAL(103,December[24])</f>
        <v>0</v>
      </c>
      <c r="AA14" s="4">
        <f>SUBTOTAL(103,December[25])</f>
        <v>0</v>
      </c>
      <c r="AB14" s="4">
        <f>SUBTOTAL(103,December[26])</f>
        <v>0</v>
      </c>
      <c r="AC14" s="4">
        <f>SUBTOTAL(103,December[27])</f>
        <v>0</v>
      </c>
      <c r="AD14" s="4">
        <f>SUBTOTAL(103,December[28])</f>
        <v>0</v>
      </c>
      <c r="AE14" s="4">
        <f>SUBTOTAL(103,December[29])</f>
        <v>0</v>
      </c>
      <c r="AF14" s="4">
        <f>SUBTOTAL(109,December[30])</f>
        <v>0</v>
      </c>
      <c r="AG14" s="4">
        <f>SUBTOTAL(109,December[31])</f>
        <v>0</v>
      </c>
      <c r="AH14" s="4">
        <f>SUBTOTAL(109,December[Total days])</f>
        <v>0</v>
      </c>
      <c r="AK14" s="76">
        <f t="shared" si="0"/>
        <v>5510000</v>
      </c>
      <c r="AL14" s="76">
        <v>4500000</v>
      </c>
      <c r="AM14" s="76">
        <f>$AI$5*August[[#This Row],[Total days]]</f>
        <v>460000</v>
      </c>
      <c r="AN14" s="76">
        <v>50000</v>
      </c>
      <c r="AO14" s="76">
        <v>500000</v>
      </c>
      <c r="AP14" s="76">
        <f>$AC$5*June[[#This Row],[Working Day]]</f>
        <v>0</v>
      </c>
    </row>
    <row r="15" spans="2:43" ht="30" customHeight="1">
      <c r="AK15" s="79">
        <f>SUM(AK9:AK14)</f>
        <v>28390000</v>
      </c>
      <c r="AL15" s="79">
        <f t="shared" ref="AL15:AP15" si="1">SUM(AL9:AL14)</f>
        <v>23500000</v>
      </c>
      <c r="AM15" s="79">
        <f t="shared" si="1"/>
        <v>2140000</v>
      </c>
      <c r="AN15" s="79">
        <f t="shared" si="1"/>
        <v>250000</v>
      </c>
      <c r="AO15" s="79">
        <f t="shared" si="1"/>
        <v>2500000</v>
      </c>
      <c r="AP15" s="79">
        <f t="shared" si="1"/>
        <v>0</v>
      </c>
    </row>
    <row r="18" spans="35:46" ht="30" customHeight="1">
      <c r="AM18" s="129"/>
      <c r="AN18" s="129"/>
      <c r="AO18" s="129"/>
      <c r="AP18" s="129"/>
      <c r="AQ18" s="129"/>
      <c r="AR18" s="129"/>
      <c r="AS18" s="129"/>
      <c r="AT18" s="129"/>
    </row>
    <row r="19" spans="35:46" ht="30" customHeight="1">
      <c r="AM19" s="129"/>
      <c r="AN19" s="129"/>
      <c r="AO19" s="129"/>
      <c r="AP19" s="129"/>
      <c r="AQ19" s="129"/>
      <c r="AR19" s="129"/>
      <c r="AS19" s="129"/>
      <c r="AT19" s="129"/>
    </row>
    <row r="20" spans="35:46" ht="30" customHeight="1">
      <c r="AN20" s="129"/>
      <c r="AO20" s="129"/>
      <c r="AP20" s="129"/>
      <c r="AQ20" s="129"/>
      <c r="AR20" s="129"/>
      <c r="AS20" s="129"/>
      <c r="AT20" s="129"/>
    </row>
    <row r="21" spans="35:46" ht="30" customHeight="1">
      <c r="AN21" s="129"/>
      <c r="AO21" s="129"/>
      <c r="AP21" s="129"/>
      <c r="AQ21" s="129"/>
      <c r="AR21" s="129"/>
      <c r="AS21" s="129"/>
      <c r="AT21" s="129"/>
    </row>
    <row r="22" spans="35:46" ht="30" customHeight="1">
      <c r="AN22" s="129"/>
      <c r="AO22" s="129"/>
      <c r="AP22" s="129"/>
      <c r="AQ22" s="129"/>
      <c r="AR22" s="129"/>
      <c r="AS22" s="129"/>
      <c r="AT22" s="129"/>
    </row>
    <row r="23" spans="35:46" ht="30" customHeight="1">
      <c r="AN23" s="129"/>
      <c r="AO23" s="129"/>
      <c r="AP23" s="129"/>
      <c r="AQ23" s="129"/>
      <c r="AR23" s="129"/>
      <c r="AS23" s="129"/>
      <c r="AT23" s="129"/>
    </row>
    <row r="24" spans="35:46" ht="30" customHeight="1">
      <c r="AN24" s="129"/>
      <c r="AO24" s="129"/>
      <c r="AP24" s="129"/>
      <c r="AQ24" s="129"/>
      <c r="AR24" s="129"/>
      <c r="AS24" s="129"/>
      <c r="AT24" s="129"/>
    </row>
    <row r="25" spans="35:46" ht="30" customHeight="1">
      <c r="AN25" s="129"/>
      <c r="AO25" s="129"/>
      <c r="AP25" s="129"/>
      <c r="AQ25" s="129"/>
      <c r="AR25" s="129"/>
      <c r="AS25" s="129"/>
      <c r="AT25" s="129"/>
    </row>
    <row r="26" spans="35:46" ht="30" customHeight="1">
      <c r="AN26" s="129"/>
      <c r="AO26" s="129"/>
      <c r="AP26" s="129"/>
      <c r="AQ26" s="129"/>
      <c r="AR26" s="129"/>
      <c r="AS26" s="129"/>
      <c r="AT26" s="129"/>
    </row>
    <row r="27" spans="35:46" ht="30" customHeight="1">
      <c r="AN27" s="129"/>
      <c r="AO27" s="129"/>
      <c r="AP27" s="129"/>
      <c r="AQ27" s="129"/>
      <c r="AR27" s="129"/>
      <c r="AS27" s="129"/>
      <c r="AT27" s="129"/>
    </row>
    <row r="28" spans="35:46" ht="30" customHeight="1">
      <c r="AN28" s="129"/>
      <c r="AO28" s="129"/>
      <c r="AP28" s="129"/>
      <c r="AQ28" s="129"/>
      <c r="AR28" s="129"/>
      <c r="AS28" s="129"/>
      <c r="AT28" s="129"/>
    </row>
    <row r="29" spans="35:46" ht="30" customHeight="1">
      <c r="AN29" s="129"/>
      <c r="AO29" s="129"/>
      <c r="AP29" s="129"/>
      <c r="AQ29" s="129"/>
      <c r="AR29" s="129"/>
      <c r="AS29" s="129"/>
      <c r="AT29" s="129"/>
    </row>
    <row r="30" spans="35:46" ht="30" customHeight="1">
      <c r="AN30" s="129"/>
      <c r="AO30" s="129"/>
      <c r="AP30" s="129"/>
      <c r="AQ30" s="129"/>
      <c r="AR30" s="129"/>
      <c r="AS30" s="129"/>
      <c r="AT30" s="129"/>
    </row>
    <row r="31" spans="35:46" ht="30" customHeight="1">
      <c r="AN31" s="129"/>
      <c r="AO31" s="129"/>
      <c r="AP31" s="129"/>
      <c r="AQ31" s="129"/>
      <c r="AR31" s="129"/>
      <c r="AS31" s="129"/>
      <c r="AT31" s="129"/>
    </row>
    <row r="32" spans="35:46" ht="30" customHeight="1">
      <c r="AI32" s="129"/>
      <c r="AJ32" s="129"/>
      <c r="AK32" s="129"/>
      <c r="AL32" s="129"/>
      <c r="AM32" s="129"/>
      <c r="AN32" s="129"/>
      <c r="AO32" s="129"/>
      <c r="AP32" s="129"/>
      <c r="AQ32" s="129"/>
      <c r="AR32" s="129"/>
      <c r="AS32" s="129"/>
      <c r="AT32" s="129"/>
    </row>
    <row r="33" spans="35:46" ht="30" customHeight="1">
      <c r="AI33" s="129"/>
      <c r="AJ33" s="129"/>
      <c r="AK33" s="129"/>
      <c r="AL33" s="129"/>
      <c r="AM33" s="129"/>
      <c r="AN33" s="129"/>
      <c r="AO33" s="129"/>
      <c r="AP33" s="129"/>
      <c r="AQ33" s="129"/>
      <c r="AR33" s="129"/>
      <c r="AS33" s="129"/>
      <c r="AT33" s="129"/>
    </row>
    <row r="34" spans="35:46" ht="30" customHeight="1">
      <c r="AI34" s="129"/>
      <c r="AJ34" s="129"/>
      <c r="AK34" s="129"/>
      <c r="AL34" s="129"/>
      <c r="AM34" s="129"/>
      <c r="AN34" s="129"/>
      <c r="AO34" s="129"/>
      <c r="AP34" s="129"/>
      <c r="AQ34" s="129"/>
      <c r="AR34" s="129"/>
      <c r="AS34" s="129"/>
      <c r="AT34" s="129"/>
    </row>
    <row r="35" spans="35:46" ht="30" customHeight="1">
      <c r="AI35" s="129"/>
      <c r="AJ35" s="129"/>
      <c r="AK35" s="129"/>
      <c r="AL35" s="129"/>
      <c r="AM35" s="129"/>
      <c r="AN35" s="129"/>
      <c r="AO35" s="129"/>
      <c r="AP35" s="129"/>
      <c r="AQ35" s="129"/>
      <c r="AR35" s="129"/>
      <c r="AS35" s="129"/>
      <c r="AT35" s="129"/>
    </row>
    <row r="36" spans="35:46" ht="30" customHeight="1">
      <c r="AI36" s="129"/>
      <c r="AJ36" s="129"/>
      <c r="AK36" s="129"/>
      <c r="AL36" s="129"/>
      <c r="AM36" s="129"/>
      <c r="AN36" s="129"/>
      <c r="AO36" s="129"/>
      <c r="AP36" s="129"/>
      <c r="AQ36" s="129"/>
      <c r="AR36" s="129"/>
      <c r="AS36" s="129"/>
      <c r="AT36" s="129"/>
    </row>
    <row r="37" spans="35:46" ht="30" customHeight="1">
      <c r="AI37" s="129"/>
      <c r="AJ37" s="129"/>
      <c r="AK37" s="129"/>
      <c r="AL37" s="129"/>
      <c r="AM37" s="129"/>
      <c r="AN37" s="129"/>
      <c r="AO37" s="129"/>
      <c r="AP37" s="129"/>
      <c r="AQ37" s="129"/>
      <c r="AR37" s="129"/>
      <c r="AS37" s="129"/>
      <c r="AT37" s="129"/>
    </row>
    <row r="38" spans="35:46" ht="30" customHeight="1">
      <c r="AI38" s="129"/>
      <c r="AJ38" s="129"/>
      <c r="AK38" s="129"/>
      <c r="AL38" s="129"/>
      <c r="AM38" s="129"/>
      <c r="AN38" s="129"/>
      <c r="AO38" s="129"/>
      <c r="AP38" s="129"/>
      <c r="AQ38" s="129"/>
      <c r="AR38" s="129"/>
      <c r="AS38" s="129"/>
      <c r="AT38" s="129"/>
    </row>
    <row r="39" spans="35:46" ht="30" customHeight="1">
      <c r="AI39" s="129"/>
      <c r="AJ39" s="129"/>
      <c r="AK39" s="129"/>
      <c r="AL39" s="129"/>
      <c r="AM39" s="129"/>
      <c r="AN39" s="129"/>
      <c r="AO39" s="129"/>
      <c r="AP39" s="129"/>
      <c r="AQ39" s="129"/>
      <c r="AR39" s="129"/>
      <c r="AS39" s="129"/>
      <c r="AT39" s="129"/>
    </row>
  </sheetData>
  <mergeCells count="12">
    <mergeCell ref="AP6:AQ7"/>
    <mergeCell ref="C6:AG6"/>
    <mergeCell ref="D4:F4"/>
    <mergeCell ref="L4:N4"/>
    <mergeCell ref="P4:R4"/>
    <mergeCell ref="T4:V4"/>
    <mergeCell ref="H5:J5"/>
    <mergeCell ref="L5:N5"/>
    <mergeCell ref="P5:R5"/>
    <mergeCell ref="T5:V5"/>
    <mergeCell ref="W5:AB5"/>
    <mergeCell ref="AC5:AH5"/>
  </mergeCells>
  <conditionalFormatting sqref="C9:AG13">
    <cfRule type="expression" priority="1" stopIfTrue="1">
      <formula>C9=""</formula>
    </cfRule>
    <cfRule type="expression" dxfId="874" priority="2" stopIfTrue="1">
      <formula>C9=KeyCustom2</formula>
    </cfRule>
    <cfRule type="expression" dxfId="873" priority="3" stopIfTrue="1">
      <formula>C9=KeyCustom1</formula>
    </cfRule>
    <cfRule type="expression" dxfId="872" priority="4" stopIfTrue="1">
      <formula>C9=KeySick</formula>
    </cfRule>
    <cfRule type="expression" dxfId="871" priority="5" stopIfTrue="1">
      <formula>C9=KeyPersonal</formula>
    </cfRule>
    <cfRule type="expression" dxfId="870" priority="6" stopIfTrue="1">
      <formula>C9=KeyVacation</formula>
    </cfRule>
  </conditionalFormatting>
  <conditionalFormatting sqref="AH9:AH13">
    <cfRule type="dataBar" priority="30">
      <dataBar>
        <cfvo type="min"/>
        <cfvo type="formula" val="DATEDIF(DATE(CalendarYear,2,1),DATE(CalendarYear,3,1),&quot;d&quot;)"/>
        <color theme="2" tint="-0.249977111117893"/>
      </dataBar>
      <extLst>
        <ext xmlns:x14="http://schemas.microsoft.com/office/spreadsheetml/2009/9/main" uri="{B025F937-C7B1-47D3-B67F-A62EFF666E3E}">
          <x14:id>{17586780-365B-4F4C-BBB4-F5991705D361}</x14:id>
        </ext>
      </extLst>
    </cfRule>
  </conditionalFormatting>
  <dataValidations count="13">
    <dataValidation allowBlank="1" showInputMessage="1" showErrorMessage="1" prompt="Automatically updated year based on year entered in January worksheet" sqref="AH6"/>
    <dataValidation allowBlank="1" showInputMessage="1" showErrorMessage="1" prompt="Automatically calculates total number of days an employee was absent this month in this column" sqref="AH8"/>
    <dataValidation allowBlank="1" showInputMessage="1" showErrorMessage="1" prompt="Track December absence in this worksheet" sqref="A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dataValidation allowBlank="1" showInputMessage="1" showErrorMessage="1" prompt="The letter &quot;V&quot; indicates absence due to vacation" sqref="C4"/>
    <dataValidation allowBlank="1" showInputMessage="1" showErrorMessage="1" prompt="The letter &quot;P&quot; indicates absence due to personal reasons" sqref="G4"/>
    <dataValidation allowBlank="1" showInputMessage="1" showErrorMessage="1" prompt="The letter &quot;S&quot; indicates absence due to illness" sqref="K4 O4 S4"/>
    <dataValidation allowBlank="1" showInputMessage="1" showErrorMessage="1" prompt="Enter a label to describe the custom key at left" sqref="H4:J4"/>
    <dataValidation allowBlank="1" showInputMessage="1" showErrorMessage="1" prompt="Month name for this absence schedule is in this cell. Absence totals for this month are in last cell of the table. Select employee names in table column B" sqref="B2"/>
    <dataValidation allowBlank="1" showInputMessage="1" showErrorMessage="1" prompt="Days of the month in this row are automatically generated. Enter an employee's absence and absence type in each column for each day of the month. Blank means no absence" sqref="C8"/>
    <dataValidation allowBlank="1" showInputMessage="1" showErrorMessage="1" prompt="Title of the worksheet is in this cell. " sqref="B1"/>
    <dataValidation allowBlank="1" showInputMessage="1" showErrorMessage="1" prompt="Weekdays in this row are automatically updated for the month according to the year in AH4. Each day of the month is a column to note an employee's absence and absence type" sqref="C7"/>
    <dataValidation allowBlank="1" showInputMessage="1" showErrorMessage="1" prompt="This row defines the keys used in the table: cell C4 is Vacation, G4 is Personal, &amp; K4 is Sick leave. Cells N4 &amp; R4 are customizable " sqref="B4"/>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7586780-365B-4F4C-BBB4-F5991705D361}">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names'!$C$5:$C$23</xm:f>
          </x14:formula1>
          <xm:sqref>B9:B13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C52"/>
  <sheetViews>
    <sheetView tabSelected="1" topLeftCell="A6" zoomScale="55" zoomScaleNormal="55" workbookViewId="0">
      <selection activeCell="AL29" sqref="AL29"/>
    </sheetView>
  </sheetViews>
  <sheetFormatPr defaultColWidth="8.77734375" defaultRowHeight="14.4"/>
  <cols>
    <col min="1" max="1" width="3.44140625" customWidth="1"/>
    <col min="2" max="2" width="4" style="158" customWidth="1"/>
    <col min="3" max="3" width="55.5546875" customWidth="1"/>
    <col min="4" max="34" width="4.6640625" customWidth="1"/>
    <col min="35" max="35" width="12.6640625" customWidth="1"/>
    <col min="36" max="36" width="13" customWidth="1"/>
    <col min="37" max="37" width="1" customWidth="1"/>
    <col min="38" max="38" width="22.77734375" bestFit="1" customWidth="1"/>
    <col min="39" max="39" width="15.5546875" customWidth="1"/>
    <col min="40" max="40" width="20.44140625" hidden="1" customWidth="1"/>
    <col min="41" max="41" width="14.33203125" bestFit="1" customWidth="1"/>
    <col min="42" max="42" width="13" customWidth="1"/>
    <col min="43" max="43" width="13.88671875" bestFit="1" customWidth="1"/>
    <col min="44" max="44" width="12.88671875" customWidth="1"/>
    <col min="45" max="45" width="13.109375" customWidth="1"/>
    <col min="46" max="46" width="18" style="177" customWidth="1"/>
    <col min="48" max="48" width="19.44140625" style="268" bestFit="1" customWidth="1"/>
    <col min="49" max="50" width="18.21875" style="268" customWidth="1"/>
    <col min="51" max="51" width="18.21875" style="267" customWidth="1"/>
    <col min="52" max="54" width="18.21875" style="270" customWidth="1"/>
    <col min="55" max="55" width="8.77734375" style="267"/>
  </cols>
  <sheetData>
    <row r="1" spans="1:55" s="158" customFormat="1" ht="33" customHeight="1">
      <c r="C1" s="154"/>
      <c r="D1" s="45" t="s">
        <v>53</v>
      </c>
      <c r="AT1" s="177"/>
      <c r="AV1" s="268"/>
      <c r="AW1" s="268"/>
      <c r="AX1" s="268"/>
      <c r="AY1" s="267"/>
      <c r="AZ1" s="270"/>
      <c r="BA1" s="270"/>
      <c r="BB1" s="270"/>
      <c r="BC1" s="267"/>
    </row>
    <row r="2" spans="1:55" s="158" customFormat="1" ht="37.200000000000003" customHeight="1">
      <c r="C2" s="154"/>
      <c r="D2" s="159" t="s">
        <v>36</v>
      </c>
      <c r="AT2" s="177"/>
      <c r="AV2" s="268"/>
      <c r="AW2" s="268"/>
      <c r="AX2" s="268"/>
      <c r="AY2" s="267"/>
      <c r="AZ2" s="270"/>
      <c r="BA2" s="270"/>
      <c r="BB2" s="270"/>
      <c r="BC2" s="267"/>
    </row>
    <row r="3" spans="1:55" s="158" customFormat="1" ht="15" customHeight="1" thickBot="1">
      <c r="B3" s="154"/>
      <c r="C3" s="160"/>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T3" s="177"/>
      <c r="AV3" s="268"/>
      <c r="AW3" s="268"/>
      <c r="AX3" s="268"/>
      <c r="AY3" s="267"/>
      <c r="AZ3" s="270"/>
      <c r="BA3" s="270"/>
      <c r="BB3" s="270"/>
      <c r="BC3" s="267"/>
    </row>
    <row r="4" spans="1:55" s="158" customFormat="1" ht="14.4" customHeight="1">
      <c r="B4" s="154"/>
      <c r="C4" s="7" t="s">
        <v>54</v>
      </c>
      <c r="D4" s="162" t="s">
        <v>74</v>
      </c>
      <c r="E4" s="329" t="s">
        <v>191</v>
      </c>
      <c r="F4" s="310"/>
      <c r="G4" s="311"/>
      <c r="H4" s="163" t="s">
        <v>190</v>
      </c>
      <c r="I4" s="164" t="s">
        <v>73</v>
      </c>
      <c r="J4" s="164"/>
      <c r="K4" s="165"/>
      <c r="L4" s="166" t="s">
        <v>31</v>
      </c>
      <c r="M4" s="312" t="s">
        <v>75</v>
      </c>
      <c r="N4" s="312"/>
      <c r="O4" s="313"/>
      <c r="P4" s="166"/>
      <c r="Q4" s="312"/>
      <c r="R4" s="312"/>
      <c r="S4" s="313"/>
      <c r="T4" s="166"/>
      <c r="U4" s="312"/>
      <c r="V4" s="312"/>
      <c r="W4" s="312"/>
      <c r="X4" s="167" t="s">
        <v>86</v>
      </c>
      <c r="Y4" s="168"/>
      <c r="Z4" s="168"/>
      <c r="AA4" s="168"/>
      <c r="AB4" s="168"/>
      <c r="AC4" s="169"/>
      <c r="AD4" s="167" t="s">
        <v>88</v>
      </c>
      <c r="AE4" s="168"/>
      <c r="AF4" s="168"/>
      <c r="AG4" s="168"/>
      <c r="AH4" s="168"/>
      <c r="AI4" s="168"/>
      <c r="AJ4" s="170" t="s">
        <v>89</v>
      </c>
      <c r="AT4" s="177"/>
      <c r="AV4" s="268"/>
      <c r="AW4" s="268"/>
      <c r="AX4" s="268"/>
      <c r="AY4" s="267"/>
      <c r="AZ4" s="270"/>
      <c r="BA4" s="270"/>
      <c r="BB4" s="270"/>
      <c r="BC4" s="267"/>
    </row>
    <row r="5" spans="1:55" s="158" customFormat="1" ht="15" customHeight="1" thickBot="1">
      <c r="B5" s="154"/>
      <c r="C5" s="171"/>
      <c r="D5" s="172"/>
      <c r="E5" s="173"/>
      <c r="F5" s="173"/>
      <c r="G5" s="174"/>
      <c r="H5" s="172"/>
      <c r="I5" s="314"/>
      <c r="J5" s="314"/>
      <c r="K5" s="315"/>
      <c r="L5" s="172"/>
      <c r="M5" s="314"/>
      <c r="N5" s="314"/>
      <c r="O5" s="315"/>
      <c r="P5" s="172"/>
      <c r="Q5" s="314"/>
      <c r="R5" s="314"/>
      <c r="S5" s="315"/>
      <c r="T5" s="172"/>
      <c r="U5" s="316">
        <f>4500000/AI9</f>
        <v>225000</v>
      </c>
      <c r="V5" s="316"/>
      <c r="W5" s="316"/>
      <c r="X5" s="317"/>
      <c r="Y5" s="318"/>
      <c r="Z5" s="318"/>
      <c r="AA5" s="318"/>
      <c r="AB5" s="318"/>
      <c r="AC5" s="319"/>
      <c r="AD5" s="320">
        <f>X5/June[[#Totals],[Working Day]]</f>
        <v>0</v>
      </c>
      <c r="AE5" s="321"/>
      <c r="AF5" s="321"/>
      <c r="AG5" s="321"/>
      <c r="AH5" s="321"/>
      <c r="AI5" s="321"/>
      <c r="AJ5" s="175">
        <v>20000</v>
      </c>
      <c r="AT5" s="177"/>
      <c r="AV5" s="268"/>
      <c r="AW5" s="268"/>
      <c r="AX5" s="268"/>
      <c r="AY5" s="267"/>
      <c r="AZ5" s="270"/>
      <c r="BA5" s="270"/>
      <c r="BB5" s="270"/>
      <c r="BC5" s="267"/>
    </row>
    <row r="6" spans="1:55" s="158" customFormat="1" ht="29.4" customHeight="1">
      <c r="C6" s="154"/>
      <c r="D6" s="176"/>
      <c r="E6" s="309" t="s">
        <v>55</v>
      </c>
      <c r="F6" s="309"/>
      <c r="G6" s="309"/>
      <c r="H6" s="309"/>
      <c r="I6" s="309"/>
      <c r="J6" s="309"/>
      <c r="K6" s="309"/>
      <c r="L6" s="309"/>
      <c r="M6" s="309"/>
      <c r="N6" s="309"/>
      <c r="O6" s="309"/>
      <c r="P6" s="309"/>
      <c r="Q6" s="309"/>
      <c r="R6" s="309"/>
      <c r="S6" s="309"/>
      <c r="T6" s="309"/>
      <c r="U6" s="309"/>
      <c r="V6" s="309"/>
      <c r="W6" s="309"/>
      <c r="X6" s="309"/>
      <c r="Y6" s="309"/>
      <c r="Z6" s="309"/>
      <c r="AA6" s="309"/>
      <c r="AB6" s="309"/>
      <c r="AC6" s="309"/>
      <c r="AD6" s="309"/>
      <c r="AE6" s="309"/>
      <c r="AF6" s="309"/>
      <c r="AG6" s="309"/>
      <c r="AH6" s="309"/>
      <c r="AI6" s="309"/>
      <c r="AJ6" s="176">
        <f ca="1">CalendarYear</f>
        <v>2026</v>
      </c>
      <c r="AS6" s="289"/>
      <c r="AT6" s="289"/>
      <c r="AV6" s="268"/>
      <c r="AW6" s="268"/>
      <c r="AX6" s="268"/>
      <c r="AY6" s="267"/>
      <c r="AZ6" s="270"/>
      <c r="BA6" s="270"/>
      <c r="BB6" s="270"/>
      <c r="BC6" s="267"/>
    </row>
    <row r="7" spans="1:55" ht="30" customHeight="1">
      <c r="C7" s="6"/>
      <c r="D7" s="21" t="str">
        <f ca="1">TEXT(WEEKDAY(DATE(CalendarYear,11,27),1),"aaa")</f>
        <v>Fri</v>
      </c>
      <c r="E7" s="21" t="str">
        <f ca="1">TEXT(WEEKDAY(DATE(CalendarYear,11,28),1),"aaa")</f>
        <v>Sat</v>
      </c>
      <c r="F7" s="21" t="str">
        <f ca="1">TEXT(WEEKDAY(DATE(CalendarYear,11,29),1),"aaa")</f>
        <v>Sun</v>
      </c>
      <c r="G7" s="21" t="str">
        <f ca="1">TEXT(WEEKDAY(DATE(CalendarYear,11,30),1),"aaa")</f>
        <v>Mon</v>
      </c>
      <c r="H7" s="21" t="str">
        <f ca="1">TEXT(WEEKDAY(DATE(CalendarYear,12,1),1),"aaa")</f>
        <v>Tue</v>
      </c>
      <c r="I7" s="21" t="str">
        <f ca="1">TEXT(WEEKDAY(DATE(CalendarYear,12,2),1),"aaa")</f>
        <v>Wed</v>
      </c>
      <c r="J7" s="21" t="str">
        <f ca="1">TEXT(WEEKDAY(DATE(CalendarYear,12,3),1),"aaa")</f>
        <v>Thu</v>
      </c>
      <c r="K7" s="21" t="str">
        <f ca="1">TEXT(WEEKDAY(DATE(CalendarYear,12,4),1),"aaa")</f>
        <v>Fri</v>
      </c>
      <c r="L7" s="21" t="str">
        <f ca="1">TEXT(WEEKDAY(DATE(CalendarYear,12,5),1),"aaa")</f>
        <v>Sat</v>
      </c>
      <c r="M7" s="21" t="str">
        <f ca="1">TEXT(WEEKDAY(DATE(CalendarYear,12,6),1),"aaa")</f>
        <v>Sun</v>
      </c>
      <c r="N7" s="21" t="str">
        <f ca="1">TEXT(WEEKDAY(DATE(CalendarYear,12,7),1),"aaa")</f>
        <v>Mon</v>
      </c>
      <c r="O7" s="21" t="str">
        <f ca="1">TEXT(WEEKDAY(DATE(CalendarYear,12,8),1),"aaa")</f>
        <v>Tue</v>
      </c>
      <c r="P7" s="21" t="str">
        <f ca="1">TEXT(WEEKDAY(DATE(CalendarYear,12,9),1),"aaa")</f>
        <v>Wed</v>
      </c>
      <c r="Q7" s="21" t="str">
        <f ca="1">TEXT(WEEKDAY(DATE(CalendarYear,12,10),1),"aaa")</f>
        <v>Thu</v>
      </c>
      <c r="R7" s="21" t="str">
        <f ca="1">TEXT(WEEKDAY(DATE(CalendarYear,12,11),1),"aaa")</f>
        <v>Fri</v>
      </c>
      <c r="S7" s="21" t="str">
        <f ca="1">TEXT(WEEKDAY(DATE(CalendarYear,12,12),1),"aaa")</f>
        <v>Sat</v>
      </c>
      <c r="T7" s="21" t="str">
        <f ca="1">TEXT(WEEKDAY(DATE(CalendarYear,12,13),1),"aaa")</f>
        <v>Sun</v>
      </c>
      <c r="U7" s="21" t="str">
        <f ca="1">TEXT(WEEKDAY(DATE(CalendarYear,12,14),1),"aaa")</f>
        <v>Mon</v>
      </c>
      <c r="V7" s="21" t="str">
        <f ca="1">TEXT(WEEKDAY(DATE(CalendarYear,12,15),1),"aaa")</f>
        <v>Tue</v>
      </c>
      <c r="W7" s="21" t="str">
        <f ca="1">TEXT(WEEKDAY(DATE(CalendarYear,12,16),1),"aaa")</f>
        <v>Wed</v>
      </c>
      <c r="X7" s="21" t="str">
        <f ca="1">TEXT(WEEKDAY(DATE(CalendarYear,12,17),1),"aaa")</f>
        <v>Thu</v>
      </c>
      <c r="Y7" s="21" t="str">
        <f ca="1">TEXT(WEEKDAY(DATE(CalendarYear,12,18),1),"aaa")</f>
        <v>Fri</v>
      </c>
      <c r="Z7" s="21" t="str">
        <f ca="1">TEXT(WEEKDAY(DATE(CalendarYear,12,19),1),"aaa")</f>
        <v>Sat</v>
      </c>
      <c r="AA7" s="21" t="str">
        <f ca="1">TEXT(WEEKDAY(DATE(CalendarYear,12,20),1),"aaa")</f>
        <v>Sun</v>
      </c>
      <c r="AB7" s="21" t="str">
        <f ca="1">TEXT(WEEKDAY(DATE(CalendarYear,12,21),1),"aaa")</f>
        <v>Mon</v>
      </c>
      <c r="AC7" s="21" t="str">
        <f ca="1">TEXT(WEEKDAY(DATE(CalendarYear,12,22),1),"aaa")</f>
        <v>Tue</v>
      </c>
      <c r="AD7" s="21" t="str">
        <f ca="1">TEXT(WEEKDAY(DATE(CalendarYear,12,23),1),"aaa")</f>
        <v>Wed</v>
      </c>
      <c r="AE7" s="21" t="str">
        <f ca="1">TEXT(WEEKDAY(DATE(CalendarYear,12,24),1),"aaa")</f>
        <v>Thu</v>
      </c>
      <c r="AF7" s="21" t="str">
        <f ca="1">TEXT(WEEKDAY(DATE(CalendarYear,12,25),1),"aaa")</f>
        <v>Fri</v>
      </c>
      <c r="AG7" s="21" t="str">
        <f ca="1">TEXT(WEEKDAY(DATE(CalendarYear,12,19),1),"aaa")</f>
        <v>Sat</v>
      </c>
      <c r="AH7" s="21" t="str">
        <f ca="1">TEXT(WEEKDAY(DATE(CalendarYear,12,20),1),"aaa")</f>
        <v>Sun</v>
      </c>
      <c r="AI7" s="6"/>
      <c r="AS7" s="289"/>
      <c r="AT7" s="289"/>
    </row>
    <row r="8" spans="1:55" ht="30" customHeight="1">
      <c r="B8" s="158" t="s">
        <v>115</v>
      </c>
      <c r="C8" s="20" t="s">
        <v>61</v>
      </c>
      <c r="D8" s="258" t="s">
        <v>25</v>
      </c>
      <c r="E8" s="86" t="s">
        <v>26</v>
      </c>
      <c r="F8" s="112" t="s">
        <v>27</v>
      </c>
      <c r="G8" s="258" t="s">
        <v>28</v>
      </c>
      <c r="H8" s="258" t="s">
        <v>29</v>
      </c>
      <c r="I8" s="258" t="s">
        <v>30</v>
      </c>
      <c r="J8" s="112" t="s">
        <v>0</v>
      </c>
      <c r="K8" s="258" t="s">
        <v>1</v>
      </c>
      <c r="L8" s="86" t="s">
        <v>2</v>
      </c>
      <c r="M8" s="112" t="s">
        <v>3</v>
      </c>
      <c r="N8" s="258" t="s">
        <v>4</v>
      </c>
      <c r="O8" s="258" t="s">
        <v>5</v>
      </c>
      <c r="P8" s="258" t="s">
        <v>6</v>
      </c>
      <c r="Q8" s="258" t="s">
        <v>7</v>
      </c>
      <c r="R8" s="258" t="s">
        <v>8</v>
      </c>
      <c r="S8" s="86" t="s">
        <v>9</v>
      </c>
      <c r="T8" s="112" t="s">
        <v>10</v>
      </c>
      <c r="U8" s="258" t="s">
        <v>11</v>
      </c>
      <c r="V8" s="258" t="s">
        <v>12</v>
      </c>
      <c r="W8" s="258" t="s">
        <v>13</v>
      </c>
      <c r="X8" s="258" t="s">
        <v>14</v>
      </c>
      <c r="Y8" s="258" t="s">
        <v>15</v>
      </c>
      <c r="Z8" s="86" t="s">
        <v>16</v>
      </c>
      <c r="AA8" s="112" t="s">
        <v>17</v>
      </c>
      <c r="AB8" s="258" t="s">
        <v>18</v>
      </c>
      <c r="AC8" s="258" t="s">
        <v>19</v>
      </c>
      <c r="AD8" s="258" t="s">
        <v>20</v>
      </c>
      <c r="AE8" s="258" t="s">
        <v>21</v>
      </c>
      <c r="AF8" s="258" t="s">
        <v>22</v>
      </c>
      <c r="AG8" s="86" t="s">
        <v>23</v>
      </c>
      <c r="AH8" s="112" t="s">
        <v>24</v>
      </c>
      <c r="AI8" s="22" t="s">
        <v>62</v>
      </c>
      <c r="AL8" s="201" t="s">
        <v>87</v>
      </c>
      <c r="AM8" s="53" t="s">
        <v>76</v>
      </c>
      <c r="AN8" s="223" t="s">
        <v>184</v>
      </c>
      <c r="AO8" s="227" t="s">
        <v>77</v>
      </c>
      <c r="AP8" s="227" t="s">
        <v>78</v>
      </c>
      <c r="AQ8" s="206" t="s">
        <v>81</v>
      </c>
      <c r="AR8" s="126" t="s">
        <v>99</v>
      </c>
      <c r="AS8" s="73" t="s">
        <v>85</v>
      </c>
    </row>
    <row r="9" spans="1:55" ht="30" customHeight="1">
      <c r="B9" s="158">
        <v>1</v>
      </c>
      <c r="C9" s="2" t="s">
        <v>116</v>
      </c>
      <c r="D9" s="225" t="s">
        <v>72</v>
      </c>
      <c r="E9" s="225"/>
      <c r="F9" s="225"/>
      <c r="G9" s="255" t="s">
        <v>72</v>
      </c>
      <c r="H9" s="255" t="s">
        <v>72</v>
      </c>
      <c r="I9" s="255" t="s">
        <v>72</v>
      </c>
      <c r="J9" s="225"/>
      <c r="K9" s="255" t="s">
        <v>72</v>
      </c>
      <c r="L9" s="228"/>
      <c r="M9" s="231"/>
      <c r="N9" s="255" t="s">
        <v>72</v>
      </c>
      <c r="O9" s="255" t="s">
        <v>72</v>
      </c>
      <c r="P9" s="255" t="s">
        <v>72</v>
      </c>
      <c r="Q9" s="255" t="s">
        <v>72</v>
      </c>
      <c r="R9" s="255" t="s">
        <v>72</v>
      </c>
      <c r="S9" s="232"/>
      <c r="T9" s="233"/>
      <c r="U9" s="261" t="s">
        <v>72</v>
      </c>
      <c r="V9" s="261" t="s">
        <v>72</v>
      </c>
      <c r="W9" s="262" t="s">
        <v>72</v>
      </c>
      <c r="X9" s="263" t="s">
        <v>72</v>
      </c>
      <c r="Y9" s="264" t="s">
        <v>72</v>
      </c>
      <c r="Z9" s="234"/>
      <c r="AA9" s="234"/>
      <c r="AB9" s="265" t="s">
        <v>72</v>
      </c>
      <c r="AC9" s="276" t="s">
        <v>72</v>
      </c>
      <c r="AD9" s="276" t="s">
        <v>72</v>
      </c>
      <c r="AE9" s="276" t="s">
        <v>72</v>
      </c>
      <c r="AF9" s="276" t="s">
        <v>72</v>
      </c>
      <c r="AG9" s="236"/>
      <c r="AH9" s="225"/>
      <c r="AI9" s="3">
        <f>COUNTA(November2[[#This Row],[26]:[25]])</f>
        <v>20</v>
      </c>
      <c r="AL9" s="202">
        <f>SUM(AM9:AU9)</f>
        <v>10000000</v>
      </c>
      <c r="AM9" s="76">
        <v>10000000</v>
      </c>
      <c r="AN9" s="76"/>
      <c r="AO9" s="76" t="s">
        <v>33</v>
      </c>
      <c r="AP9" s="76"/>
      <c r="AQ9" s="76"/>
      <c r="AR9" s="76"/>
      <c r="AS9" s="76"/>
      <c r="AT9" s="193" t="s">
        <v>127</v>
      </c>
    </row>
    <row r="10" spans="1:55" ht="30" hidden="1" customHeight="1">
      <c r="B10" s="158">
        <v>2</v>
      </c>
      <c r="C10" s="2"/>
      <c r="D10" s="225"/>
      <c r="E10" s="225"/>
      <c r="F10" s="225"/>
      <c r="G10" s="255"/>
      <c r="H10" s="255"/>
      <c r="I10" s="255"/>
      <c r="J10" s="225"/>
      <c r="K10" s="262" t="s">
        <v>72</v>
      </c>
      <c r="L10" s="228"/>
      <c r="M10" s="231"/>
      <c r="N10" s="255"/>
      <c r="O10" s="255"/>
      <c r="P10" s="255"/>
      <c r="Q10" s="255"/>
      <c r="R10" s="255"/>
      <c r="S10" s="232"/>
      <c r="T10" s="233"/>
      <c r="U10" s="261"/>
      <c r="V10" s="261"/>
      <c r="W10" s="262"/>
      <c r="X10" s="263"/>
      <c r="Y10" s="264"/>
      <c r="Z10" s="234"/>
      <c r="AA10" s="234"/>
      <c r="AB10" s="265"/>
      <c r="AC10" s="276"/>
      <c r="AD10" s="276"/>
      <c r="AE10" s="276"/>
      <c r="AF10" s="276"/>
      <c r="AG10" s="236"/>
      <c r="AH10" s="225"/>
      <c r="AI10" s="3">
        <f>COUNTA(November2[[#This Row],[26]:[25]])</f>
        <v>1</v>
      </c>
      <c r="AL10" s="202">
        <f t="shared" ref="AL10:AL27" si="0">SUM(AM10:AU10)</f>
        <v>0</v>
      </c>
      <c r="AM10" s="76">
        <v>0</v>
      </c>
      <c r="AN10" s="76"/>
      <c r="AO10" s="76">
        <f>$AJ$5*October[[#This Row],[Total days]]</f>
        <v>0</v>
      </c>
      <c r="AP10" s="76"/>
      <c r="AQ10" s="76"/>
      <c r="AR10" s="76"/>
      <c r="AS10" s="76"/>
      <c r="AT10" s="193" t="s">
        <v>134</v>
      </c>
    </row>
    <row r="11" spans="1:55" ht="30" customHeight="1">
      <c r="B11" s="158">
        <v>2</v>
      </c>
      <c r="C11" s="2" t="s">
        <v>117</v>
      </c>
      <c r="D11" s="225" t="s">
        <v>72</v>
      </c>
      <c r="E11" s="229"/>
      <c r="F11" s="229"/>
      <c r="G11" s="255" t="s">
        <v>72</v>
      </c>
      <c r="H11" s="255" t="s">
        <v>72</v>
      </c>
      <c r="I11" s="255" t="s">
        <v>72</v>
      </c>
      <c r="J11" s="229"/>
      <c r="K11" s="255" t="s">
        <v>72</v>
      </c>
      <c r="L11" s="229"/>
      <c r="M11" s="229"/>
      <c r="N11" s="255" t="s">
        <v>72</v>
      </c>
      <c r="O11" s="255" t="s">
        <v>72</v>
      </c>
      <c r="P11" s="255" t="s">
        <v>72</v>
      </c>
      <c r="Q11" s="255" t="s">
        <v>72</v>
      </c>
      <c r="R11" s="255" t="s">
        <v>72</v>
      </c>
      <c r="S11" s="229"/>
      <c r="T11" s="229"/>
      <c r="U11" s="261" t="s">
        <v>72</v>
      </c>
      <c r="V11" s="261" t="s">
        <v>72</v>
      </c>
      <c r="W11" s="262" t="s">
        <v>72</v>
      </c>
      <c r="X11" s="263" t="s">
        <v>72</v>
      </c>
      <c r="Y11" s="264" t="s">
        <v>72</v>
      </c>
      <c r="Z11" s="229"/>
      <c r="AA11" s="229"/>
      <c r="AB11" s="265" t="s">
        <v>72</v>
      </c>
      <c r="AC11" s="276" t="s">
        <v>72</v>
      </c>
      <c r="AD11" s="276" t="s">
        <v>72</v>
      </c>
      <c r="AE11" s="276" t="s">
        <v>72</v>
      </c>
      <c r="AF11" s="276" t="s">
        <v>72</v>
      </c>
      <c r="AG11" s="236"/>
      <c r="AH11" s="225"/>
      <c r="AI11" s="3">
        <f>COUNTA(November2[[#This Row],[26]:[25]])</f>
        <v>20</v>
      </c>
      <c r="AL11" s="202">
        <f>SUM(AM11:AU11)</f>
        <v>5000000</v>
      </c>
      <c r="AM11" s="76">
        <v>5000000</v>
      </c>
      <c r="AN11" s="76"/>
      <c r="AO11" s="76">
        <f>$AJ$5*October[[#This Row],[Total days]]</f>
        <v>0</v>
      </c>
      <c r="AP11" s="76"/>
      <c r="AQ11" s="76"/>
      <c r="AR11" s="76"/>
      <c r="AS11" s="76"/>
      <c r="AT11" s="193" t="s">
        <v>135</v>
      </c>
    </row>
    <row r="12" spans="1:55" ht="30" customHeight="1">
      <c r="B12" s="158">
        <v>3</v>
      </c>
      <c r="C12" s="2" t="s">
        <v>121</v>
      </c>
      <c r="D12" s="255" t="s">
        <v>72</v>
      </c>
      <c r="E12" s="229"/>
      <c r="F12" s="229"/>
      <c r="G12" s="255" t="s">
        <v>72</v>
      </c>
      <c r="H12" s="255" t="s">
        <v>72</v>
      </c>
      <c r="I12" s="255" t="s">
        <v>72</v>
      </c>
      <c r="J12" s="229"/>
      <c r="K12" s="255" t="s">
        <v>72</v>
      </c>
      <c r="L12" s="229"/>
      <c r="M12" s="229"/>
      <c r="N12" s="255" t="s">
        <v>72</v>
      </c>
      <c r="O12" s="255" t="s">
        <v>72</v>
      </c>
      <c r="P12" s="255" t="s">
        <v>72</v>
      </c>
      <c r="Q12" s="255" t="s">
        <v>72</v>
      </c>
      <c r="R12" s="255" t="s">
        <v>72</v>
      </c>
      <c r="S12" s="229"/>
      <c r="T12" s="229"/>
      <c r="U12" s="261" t="s">
        <v>72</v>
      </c>
      <c r="V12" s="261" t="s">
        <v>72</v>
      </c>
      <c r="W12" s="262" t="s">
        <v>72</v>
      </c>
      <c r="X12" s="263" t="s">
        <v>72</v>
      </c>
      <c r="Y12" s="264" t="s">
        <v>72</v>
      </c>
      <c r="Z12" s="229"/>
      <c r="AA12" s="229"/>
      <c r="AB12" s="265" t="s">
        <v>72</v>
      </c>
      <c r="AC12" s="276" t="s">
        <v>72</v>
      </c>
      <c r="AD12" s="276" t="s">
        <v>72</v>
      </c>
      <c r="AE12" s="276" t="s">
        <v>72</v>
      </c>
      <c r="AF12" s="276" t="s">
        <v>72</v>
      </c>
      <c r="AG12" s="255"/>
      <c r="AH12" s="255"/>
      <c r="AI12" s="3">
        <f>COUNTA(November2[[#This Row],[26]:[25]])</f>
        <v>20</v>
      </c>
      <c r="AL12" s="202">
        <v>9000000</v>
      </c>
      <c r="AM12" s="76">
        <v>0</v>
      </c>
      <c r="AN12" s="76"/>
      <c r="AO12" s="76"/>
      <c r="AP12" s="76"/>
      <c r="AQ12" s="76"/>
      <c r="AR12" s="76"/>
      <c r="AS12" s="76"/>
      <c r="AT12" s="193" t="s">
        <v>194</v>
      </c>
      <c r="AV12" s="271" t="s">
        <v>178</v>
      </c>
      <c r="AW12" s="271" t="s">
        <v>175</v>
      </c>
      <c r="AX12" s="271" t="s">
        <v>176</v>
      </c>
      <c r="AY12" s="272"/>
      <c r="AZ12" s="273" t="s">
        <v>177</v>
      </c>
      <c r="BA12" s="273" t="s">
        <v>175</v>
      </c>
      <c r="BB12" s="273" t="s">
        <v>176</v>
      </c>
    </row>
    <row r="13" spans="1:55" ht="30" customHeight="1">
      <c r="B13" s="158">
        <v>4</v>
      </c>
      <c r="C13" s="2" t="s">
        <v>118</v>
      </c>
      <c r="D13" s="225" t="s">
        <v>72</v>
      </c>
      <c r="E13" s="229"/>
      <c r="F13" s="229"/>
      <c r="G13" s="255" t="s">
        <v>72</v>
      </c>
      <c r="H13" s="255" t="s">
        <v>72</v>
      </c>
      <c r="I13" s="255" t="s">
        <v>72</v>
      </c>
      <c r="J13" s="229"/>
      <c r="K13" s="255" t="s">
        <v>72</v>
      </c>
      <c r="L13" s="229"/>
      <c r="M13" s="229"/>
      <c r="N13" s="255" t="s">
        <v>72</v>
      </c>
      <c r="O13" s="255" t="s">
        <v>72</v>
      </c>
      <c r="P13" s="255" t="s">
        <v>72</v>
      </c>
      <c r="Q13" s="255" t="s">
        <v>72</v>
      </c>
      <c r="R13" s="255" t="s">
        <v>72</v>
      </c>
      <c r="S13" s="229"/>
      <c r="T13" s="229"/>
      <c r="U13" s="261" t="s">
        <v>72</v>
      </c>
      <c r="V13" s="261" t="s">
        <v>72</v>
      </c>
      <c r="W13" s="262" t="s">
        <v>72</v>
      </c>
      <c r="X13" s="263" t="s">
        <v>72</v>
      </c>
      <c r="Y13" s="264" t="s">
        <v>72</v>
      </c>
      <c r="Z13" s="229"/>
      <c r="AA13" s="229"/>
      <c r="AB13" s="265" t="s">
        <v>72</v>
      </c>
      <c r="AC13" s="276" t="s">
        <v>72</v>
      </c>
      <c r="AD13" s="276" t="s">
        <v>72</v>
      </c>
      <c r="AE13" s="276" t="s">
        <v>72</v>
      </c>
      <c r="AF13" s="276" t="s">
        <v>72</v>
      </c>
      <c r="AG13" s="236"/>
      <c r="AH13" s="225"/>
      <c r="AI13" s="3">
        <f>COUNTA(November2[[#This Row],[26]:[25]])</f>
        <v>20</v>
      </c>
      <c r="AL13" s="202">
        <f>SUM(AM13:AU13)</f>
        <v>2000000</v>
      </c>
      <c r="AM13" s="230">
        <v>2000000</v>
      </c>
      <c r="AN13" s="76"/>
      <c r="AO13" s="76"/>
      <c r="AP13" s="76"/>
      <c r="AQ13" s="76"/>
      <c r="AR13" s="76"/>
      <c r="AS13" s="76"/>
      <c r="AT13" s="193" t="s">
        <v>128</v>
      </c>
      <c r="AV13" s="271">
        <v>5500000</v>
      </c>
      <c r="AW13" s="271">
        <f>(((AV13/26)/8)*150%)/100%</f>
        <v>39663.461538461539</v>
      </c>
      <c r="AX13" s="271">
        <f>(((AV13/26)/8)*250%)/100%</f>
        <v>66105.769230769234</v>
      </c>
      <c r="AY13" s="272"/>
      <c r="AZ13" s="273">
        <v>4250000</v>
      </c>
      <c r="BA13" s="273">
        <f t="shared" ref="BA13:BA14" si="1">(((AZ13/22)/8)*150%)/100%</f>
        <v>36221.590909090912</v>
      </c>
      <c r="BB13" s="273">
        <f t="shared" ref="BB13:BB14" si="2">(((AZ13/22)/8)*250%)/100%</f>
        <v>60369.318181818177</v>
      </c>
    </row>
    <row r="14" spans="1:55" ht="30" customHeight="1">
      <c r="B14" s="158">
        <v>5</v>
      </c>
      <c r="C14" s="2" t="s">
        <v>124</v>
      </c>
      <c r="D14" s="225" t="s">
        <v>72</v>
      </c>
      <c r="E14" s="229"/>
      <c r="F14" s="229"/>
      <c r="G14" s="255" t="s">
        <v>72</v>
      </c>
      <c r="H14" s="255" t="s">
        <v>72</v>
      </c>
      <c r="I14" s="255" t="s">
        <v>72</v>
      </c>
      <c r="J14" s="229"/>
      <c r="K14" s="255" t="s">
        <v>72</v>
      </c>
      <c r="L14" s="229">
        <v>10</v>
      </c>
      <c r="M14" s="229"/>
      <c r="N14" s="255" t="s">
        <v>72</v>
      </c>
      <c r="O14" s="255" t="s">
        <v>72</v>
      </c>
      <c r="P14" s="255">
        <v>3</v>
      </c>
      <c r="Q14" s="255">
        <v>6</v>
      </c>
      <c r="R14" s="255" t="s">
        <v>72</v>
      </c>
      <c r="S14" s="229"/>
      <c r="T14" s="229"/>
      <c r="U14" s="261" t="s">
        <v>72</v>
      </c>
      <c r="V14" s="261" t="s">
        <v>72</v>
      </c>
      <c r="W14" s="262" t="s">
        <v>72</v>
      </c>
      <c r="X14" s="263">
        <v>3</v>
      </c>
      <c r="Y14" s="264" t="s">
        <v>72</v>
      </c>
      <c r="Z14" s="229"/>
      <c r="AA14" s="229"/>
      <c r="AB14" s="265" t="s">
        <v>72</v>
      </c>
      <c r="AC14" s="276" t="s">
        <v>72</v>
      </c>
      <c r="AD14" s="276" t="s">
        <v>72</v>
      </c>
      <c r="AE14" s="276" t="s">
        <v>72</v>
      </c>
      <c r="AF14" s="276" t="s">
        <v>72</v>
      </c>
      <c r="AG14" s="236"/>
      <c r="AH14" s="225"/>
      <c r="AI14" s="3">
        <f>COUNTA(November2[[#This Row],[26]:[25]])</f>
        <v>21</v>
      </c>
      <c r="AL14" s="202">
        <f>SUM(AM14:AU14)</f>
        <v>8906250</v>
      </c>
      <c r="AM14" s="230">
        <v>7500000</v>
      </c>
      <c r="AN14" s="76"/>
      <c r="AO14" s="76">
        <f>$AJ$5*October[[#This Row],[Total days]]</f>
        <v>0</v>
      </c>
      <c r="AP14" s="76"/>
      <c r="AQ14" s="76">
        <f>AA39</f>
        <v>1406250</v>
      </c>
      <c r="AR14" s="76"/>
      <c r="AS14" s="76"/>
      <c r="AT14" s="193" t="s">
        <v>129</v>
      </c>
      <c r="AV14" s="271">
        <v>5125000</v>
      </c>
      <c r="AW14" s="271">
        <f t="shared" ref="AW14:AW17" si="3">(((AV14/26)/8)*150%)/100%</f>
        <v>36959.134615384617</v>
      </c>
      <c r="AX14" s="271">
        <f t="shared" ref="AX14:AX17" si="4">(((AV14/26)/8)*250%)/100%</f>
        <v>61598.557692307695</v>
      </c>
      <c r="AY14" s="272"/>
      <c r="AZ14" s="273">
        <v>4500000</v>
      </c>
      <c r="BA14" s="273">
        <f t="shared" si="1"/>
        <v>38352.272727272728</v>
      </c>
      <c r="BB14" s="273">
        <f t="shared" si="2"/>
        <v>63920.454545454551</v>
      </c>
    </row>
    <row r="15" spans="1:55" ht="28.8" customHeight="1">
      <c r="B15" s="158">
        <v>6</v>
      </c>
      <c r="C15" s="31" t="s">
        <v>172</v>
      </c>
      <c r="D15" s="225" t="s">
        <v>72</v>
      </c>
      <c r="E15" s="229"/>
      <c r="F15" s="229"/>
      <c r="G15" s="255" t="s">
        <v>72</v>
      </c>
      <c r="H15" s="255" t="s">
        <v>72</v>
      </c>
      <c r="I15" s="255" t="s">
        <v>72</v>
      </c>
      <c r="J15" s="229"/>
      <c r="K15" s="255" t="s">
        <v>72</v>
      </c>
      <c r="L15" s="229"/>
      <c r="M15" s="229"/>
      <c r="N15" s="255" t="s">
        <v>72</v>
      </c>
      <c r="O15" s="255" t="s">
        <v>72</v>
      </c>
      <c r="P15" s="255">
        <v>3</v>
      </c>
      <c r="Q15" s="255" t="s">
        <v>72</v>
      </c>
      <c r="R15" s="257"/>
      <c r="S15" s="229"/>
      <c r="T15" s="229"/>
      <c r="U15" s="261" t="s">
        <v>72</v>
      </c>
      <c r="V15" s="261" t="s">
        <v>72</v>
      </c>
      <c r="W15" s="262" t="s">
        <v>72</v>
      </c>
      <c r="X15" s="263">
        <v>3</v>
      </c>
      <c r="Y15" s="257"/>
      <c r="Z15" s="229"/>
      <c r="AA15" s="229"/>
      <c r="AB15" s="265" t="s">
        <v>72</v>
      </c>
      <c r="AC15" s="276" t="s">
        <v>72</v>
      </c>
      <c r="AD15" s="276" t="s">
        <v>72</v>
      </c>
      <c r="AE15" s="276" t="s">
        <v>72</v>
      </c>
      <c r="AF15" s="276" t="s">
        <v>72</v>
      </c>
      <c r="AG15" s="236"/>
      <c r="AH15" s="32"/>
      <c r="AI15" s="3">
        <f>COUNTA(November2[[#This Row],[26]:[25]])</f>
        <v>18</v>
      </c>
      <c r="AL15" s="202">
        <f>SUM(AM15:AU15)</f>
        <v>5140113.6363636367</v>
      </c>
      <c r="AM15" s="230">
        <v>4500000</v>
      </c>
      <c r="AN15" s="76"/>
      <c r="AO15" s="76">
        <f>AJ5*November2[[#This Row],[Total days]]</f>
        <v>360000</v>
      </c>
      <c r="AP15" s="76">
        <v>50000</v>
      </c>
      <c r="AQ15" s="76">
        <f>AA41</f>
        <v>230113.63636363635</v>
      </c>
      <c r="AR15" s="76"/>
      <c r="AS15" s="76"/>
      <c r="AT15" s="193" t="s">
        <v>130</v>
      </c>
      <c r="AV15" s="271">
        <v>4250000</v>
      </c>
      <c r="AW15" s="271">
        <f t="shared" si="3"/>
        <v>30649.038461538461</v>
      </c>
      <c r="AX15" s="271">
        <f t="shared" si="4"/>
        <v>51081.730769230773</v>
      </c>
      <c r="AY15" s="272"/>
      <c r="AZ15" s="273">
        <v>7500000</v>
      </c>
      <c r="BA15" s="273">
        <f>(((AZ15/22)/8)*150%)/100%</f>
        <v>63920.454545454544</v>
      </c>
      <c r="BB15" s="273">
        <f>(((AZ15/22)/8)*250%)/100%</f>
        <v>106534.0909090909</v>
      </c>
    </row>
    <row r="16" spans="1:55" ht="30" customHeight="1">
      <c r="A16" t="s">
        <v>33</v>
      </c>
      <c r="B16" s="158">
        <v>7</v>
      </c>
      <c r="C16" s="31" t="s">
        <v>171</v>
      </c>
      <c r="D16" s="225" t="s">
        <v>72</v>
      </c>
      <c r="E16" s="263" t="s">
        <v>72</v>
      </c>
      <c r="F16" s="229"/>
      <c r="G16" s="255" t="s">
        <v>72</v>
      </c>
      <c r="H16" s="255" t="s">
        <v>72</v>
      </c>
      <c r="I16" s="255" t="s">
        <v>72</v>
      </c>
      <c r="J16" s="229"/>
      <c r="K16" s="255" t="s">
        <v>72</v>
      </c>
      <c r="L16" s="263" t="s">
        <v>72</v>
      </c>
      <c r="M16" s="229"/>
      <c r="N16" s="255" t="s">
        <v>72</v>
      </c>
      <c r="O16" s="255" t="s">
        <v>72</v>
      </c>
      <c r="P16" s="257"/>
      <c r="Q16" s="263" t="s">
        <v>72</v>
      </c>
      <c r="R16" s="255" t="s">
        <v>72</v>
      </c>
      <c r="S16" s="263" t="s">
        <v>72</v>
      </c>
      <c r="T16" s="229"/>
      <c r="U16" s="261" t="s">
        <v>72</v>
      </c>
      <c r="V16" s="261" t="s">
        <v>72</v>
      </c>
      <c r="W16" s="262" t="s">
        <v>72</v>
      </c>
      <c r="X16" s="263" t="s">
        <v>72</v>
      </c>
      <c r="Y16" s="264" t="s">
        <v>72</v>
      </c>
      <c r="Z16" s="264" t="s">
        <v>72</v>
      </c>
      <c r="AA16" s="264">
        <v>8</v>
      </c>
      <c r="AB16" s="265" t="s">
        <v>72</v>
      </c>
      <c r="AC16" s="276" t="s">
        <v>72</v>
      </c>
      <c r="AD16" s="276" t="s">
        <v>72</v>
      </c>
      <c r="AE16" s="276" t="s">
        <v>72</v>
      </c>
      <c r="AF16" s="276" t="s">
        <v>72</v>
      </c>
      <c r="AG16" s="276" t="s">
        <v>72</v>
      </c>
      <c r="AH16" s="32"/>
      <c r="AI16" s="3">
        <f>COUNTA(November2[[#This Row],[26]:[25]])</f>
        <v>25</v>
      </c>
      <c r="AL16" s="202">
        <f>SUM(AM16:AU16)</f>
        <v>6167788.461538462</v>
      </c>
      <c r="AM16" s="230">
        <v>5125000</v>
      </c>
      <c r="AN16" s="76"/>
      <c r="AO16" s="76">
        <f>AJ5*November2[[#This Row],[Total days]]</f>
        <v>500000</v>
      </c>
      <c r="AP16" s="76">
        <v>50000</v>
      </c>
      <c r="AQ16" s="76">
        <f>AA34</f>
        <v>492788.46153846156</v>
      </c>
      <c r="AR16" s="76"/>
      <c r="AS16" s="76"/>
      <c r="AT16" s="193" t="s">
        <v>132</v>
      </c>
      <c r="AV16" s="271">
        <v>5220000</v>
      </c>
      <c r="AW16" s="271">
        <f t="shared" si="3"/>
        <v>37644.230769230773</v>
      </c>
      <c r="AX16" s="271">
        <f t="shared" si="4"/>
        <v>62740.384615384617</v>
      </c>
      <c r="AY16" s="272"/>
      <c r="AZ16" s="273"/>
      <c r="BA16" s="273"/>
      <c r="BB16" s="273"/>
    </row>
    <row r="17" spans="1:55" ht="30" customHeight="1">
      <c r="B17" s="260">
        <v>8</v>
      </c>
      <c r="C17" s="31" t="s">
        <v>154</v>
      </c>
      <c r="D17" s="225" t="s">
        <v>72</v>
      </c>
      <c r="E17" s="263" t="s">
        <v>72</v>
      </c>
      <c r="F17" s="229"/>
      <c r="G17" s="255" t="s">
        <v>72</v>
      </c>
      <c r="H17" s="255" t="s">
        <v>72</v>
      </c>
      <c r="I17" s="255" t="s">
        <v>72</v>
      </c>
      <c r="J17" s="229"/>
      <c r="K17" s="255" t="s">
        <v>72</v>
      </c>
      <c r="L17" s="263" t="s">
        <v>72</v>
      </c>
      <c r="M17" s="229"/>
      <c r="N17" s="255" t="s">
        <v>72</v>
      </c>
      <c r="O17" s="255" t="s">
        <v>72</v>
      </c>
      <c r="P17" s="255" t="s">
        <v>72</v>
      </c>
      <c r="Q17" s="255" t="s">
        <v>72</v>
      </c>
      <c r="R17" s="255" t="s">
        <v>72</v>
      </c>
      <c r="S17" s="263" t="s">
        <v>72</v>
      </c>
      <c r="T17" s="229"/>
      <c r="U17" s="261" t="s">
        <v>72</v>
      </c>
      <c r="V17" s="261" t="s">
        <v>72</v>
      </c>
      <c r="W17" s="262" t="s">
        <v>72</v>
      </c>
      <c r="X17" s="263" t="s">
        <v>72</v>
      </c>
      <c r="Y17" s="264" t="s">
        <v>72</v>
      </c>
      <c r="Z17" s="264" t="s">
        <v>72</v>
      </c>
      <c r="AA17" s="264">
        <v>8</v>
      </c>
      <c r="AB17" s="265" t="s">
        <v>72</v>
      </c>
      <c r="AC17" s="276" t="s">
        <v>72</v>
      </c>
      <c r="AD17" s="276" t="s">
        <v>72</v>
      </c>
      <c r="AE17" s="276" t="s">
        <v>72</v>
      </c>
      <c r="AF17" s="276" t="s">
        <v>72</v>
      </c>
      <c r="AG17" s="276" t="s">
        <v>72</v>
      </c>
      <c r="AH17" s="32">
        <v>4</v>
      </c>
      <c r="AI17" s="3">
        <f>COUNTA(November2[[#This Row],[26]:[25]])</f>
        <v>27</v>
      </c>
      <c r="AL17" s="202">
        <f>SUM(AM17:AU17)</f>
        <v>5442980.769230769</v>
      </c>
      <c r="AM17" s="230">
        <v>4250000</v>
      </c>
      <c r="AN17" s="76"/>
      <c r="AO17" s="76">
        <f>AJ5*November2[[#This Row],[Total days]]</f>
        <v>540000</v>
      </c>
      <c r="AP17" s="76">
        <v>40000</v>
      </c>
      <c r="AQ17" s="76">
        <f>AA35</f>
        <v>612980.76923076925</v>
      </c>
      <c r="AR17" s="76"/>
      <c r="AS17" s="76"/>
      <c r="AT17" s="193" t="s">
        <v>132</v>
      </c>
      <c r="AV17" s="271">
        <v>4000000</v>
      </c>
      <c r="AW17" s="271">
        <f t="shared" si="3"/>
        <v>28846.153846153844</v>
      </c>
      <c r="AX17" s="271">
        <f t="shared" si="4"/>
        <v>48076.923076923078</v>
      </c>
    </row>
    <row r="18" spans="1:55" ht="30" customHeight="1">
      <c r="A18" t="s">
        <v>185</v>
      </c>
      <c r="B18" s="158">
        <v>9</v>
      </c>
      <c r="C18" s="31" t="s">
        <v>195</v>
      </c>
      <c r="D18" s="225"/>
      <c r="E18" s="229"/>
      <c r="F18" s="229"/>
      <c r="G18" s="255"/>
      <c r="H18" s="255"/>
      <c r="I18" s="255"/>
      <c r="J18" s="229"/>
      <c r="K18" s="255"/>
      <c r="L18" s="229"/>
      <c r="M18" s="229"/>
      <c r="N18" s="255"/>
      <c r="O18" s="255"/>
      <c r="P18" s="255"/>
      <c r="Q18" s="255" t="s">
        <v>72</v>
      </c>
      <c r="R18" s="255" t="s">
        <v>72</v>
      </c>
      <c r="S18" s="263" t="s">
        <v>72</v>
      </c>
      <c r="T18" s="229"/>
      <c r="U18" s="261" t="s">
        <v>72</v>
      </c>
      <c r="V18" s="261" t="s">
        <v>72</v>
      </c>
      <c r="W18" s="262" t="s">
        <v>72</v>
      </c>
      <c r="X18" s="263" t="s">
        <v>72</v>
      </c>
      <c r="Y18" s="264" t="s">
        <v>72</v>
      </c>
      <c r="Z18" s="264" t="s">
        <v>72</v>
      </c>
      <c r="AA18" s="264"/>
      <c r="AB18" s="265" t="s">
        <v>72</v>
      </c>
      <c r="AC18" s="276" t="s">
        <v>72</v>
      </c>
      <c r="AD18" s="276" t="s">
        <v>72</v>
      </c>
      <c r="AE18" s="276" t="s">
        <v>72</v>
      </c>
      <c r="AF18" s="276" t="s">
        <v>72</v>
      </c>
      <c r="AG18" s="276" t="s">
        <v>72</v>
      </c>
      <c r="AH18" s="32">
        <v>4</v>
      </c>
      <c r="AI18" s="3">
        <f>COUNTA(November2[[#This Row],[26]:[25]])</f>
        <v>16</v>
      </c>
      <c r="AL18" s="202">
        <f>((AM18/26)*November2[[#This Row],[Total days]])+AO18+AP18</f>
        <v>3572307.6923076925</v>
      </c>
      <c r="AM18" s="230">
        <v>5220000</v>
      </c>
      <c r="AN18" s="76"/>
      <c r="AO18" s="76">
        <f>AJ5*November2[[#This Row],[Total days]]</f>
        <v>320000</v>
      </c>
      <c r="AP18" s="76">
        <v>40000</v>
      </c>
      <c r="AQ18" s="76">
        <f>AA37</f>
        <v>250961.53846153847</v>
      </c>
      <c r="AR18" s="76"/>
      <c r="AS18" s="76"/>
      <c r="AT18" s="193" t="s">
        <v>132</v>
      </c>
    </row>
    <row r="19" spans="1:55" ht="30" customHeight="1">
      <c r="B19" s="158">
        <v>10</v>
      </c>
      <c r="C19" s="282" t="s">
        <v>199</v>
      </c>
      <c r="D19" s="255"/>
      <c r="E19" s="229"/>
      <c r="F19" s="229"/>
      <c r="G19" s="255"/>
      <c r="H19" s="255"/>
      <c r="I19" s="255"/>
      <c r="J19" s="229"/>
      <c r="K19" s="255" t="s">
        <v>72</v>
      </c>
      <c r="L19" s="263" t="s">
        <v>72</v>
      </c>
      <c r="M19" s="229"/>
      <c r="N19" s="255" t="s">
        <v>72</v>
      </c>
      <c r="O19" s="255" t="s">
        <v>72</v>
      </c>
      <c r="P19" s="255" t="s">
        <v>72</v>
      </c>
      <c r="Q19" s="255" t="s">
        <v>72</v>
      </c>
      <c r="R19" s="255" t="s">
        <v>72</v>
      </c>
      <c r="S19" s="263" t="s">
        <v>72</v>
      </c>
      <c r="T19" s="229"/>
      <c r="U19" s="261" t="s">
        <v>72</v>
      </c>
      <c r="V19" s="261" t="s">
        <v>72</v>
      </c>
      <c r="W19" s="262" t="s">
        <v>72</v>
      </c>
      <c r="X19" s="257"/>
      <c r="Y19" s="264" t="s">
        <v>72</v>
      </c>
      <c r="Z19" s="264" t="s">
        <v>72</v>
      </c>
      <c r="AA19" s="264">
        <v>8</v>
      </c>
      <c r="AB19" s="265" t="s">
        <v>72</v>
      </c>
      <c r="AC19" s="276" t="s">
        <v>72</v>
      </c>
      <c r="AD19" s="276" t="s">
        <v>72</v>
      </c>
      <c r="AE19" s="276" t="s">
        <v>72</v>
      </c>
      <c r="AF19" s="276" t="s">
        <v>72</v>
      </c>
      <c r="AG19" s="276" t="s">
        <v>72</v>
      </c>
      <c r="AH19" s="32">
        <v>4</v>
      </c>
      <c r="AI19" s="3">
        <f>COUNTA(November2[[#This Row],[26]:[25]])</f>
        <v>21</v>
      </c>
      <c r="AL19" s="202">
        <f>((AM19/26)*November2[[#This Row],[Total days]])+AO19+AP19+AQ19+AR19+AS19</f>
        <v>4505673.076923077</v>
      </c>
      <c r="AM19" s="230">
        <v>4250000</v>
      </c>
      <c r="AN19" s="76"/>
      <c r="AO19" s="76">
        <f>AJ5*November2[[#This Row],[Total days]]</f>
        <v>420000</v>
      </c>
      <c r="AP19" s="76">
        <v>40000</v>
      </c>
      <c r="AQ19" s="76">
        <f>AA36</f>
        <v>612980.76923076925</v>
      </c>
      <c r="AR19" s="76"/>
      <c r="AS19" s="76"/>
      <c r="AT19" s="193" t="s">
        <v>132</v>
      </c>
    </row>
    <row r="20" spans="1:55" ht="30" customHeight="1">
      <c r="B20" s="158">
        <v>11</v>
      </c>
      <c r="C20" s="31" t="s">
        <v>193</v>
      </c>
      <c r="D20" s="264"/>
      <c r="E20" s="229"/>
      <c r="F20" s="229"/>
      <c r="G20" s="264"/>
      <c r="H20" s="264"/>
      <c r="I20" s="264"/>
      <c r="J20" s="229"/>
      <c r="K20" s="264"/>
      <c r="L20" s="264"/>
      <c r="M20" s="229"/>
      <c r="N20" s="264"/>
      <c r="O20" s="264"/>
      <c r="P20" s="264"/>
      <c r="Q20" s="264"/>
      <c r="R20" s="264"/>
      <c r="S20" s="264"/>
      <c r="T20" s="229"/>
      <c r="U20" s="264" t="s">
        <v>72</v>
      </c>
      <c r="V20" s="264" t="s">
        <v>72</v>
      </c>
      <c r="W20" s="264" t="s">
        <v>72</v>
      </c>
      <c r="X20" s="264" t="s">
        <v>72</v>
      </c>
      <c r="Y20" s="264" t="s">
        <v>72</v>
      </c>
      <c r="Z20" s="264" t="s">
        <v>72</v>
      </c>
      <c r="AA20" s="264">
        <v>8</v>
      </c>
      <c r="AB20" s="265" t="s">
        <v>72</v>
      </c>
      <c r="AC20" s="276" t="s">
        <v>72</v>
      </c>
      <c r="AD20" s="276" t="s">
        <v>72</v>
      </c>
      <c r="AE20" s="276" t="s">
        <v>72</v>
      </c>
      <c r="AF20" s="276" t="s">
        <v>72</v>
      </c>
      <c r="AG20" s="264"/>
      <c r="AH20" s="32"/>
      <c r="AI20" s="3">
        <f>COUNTA(November2[[#This Row],[26]:[25]])</f>
        <v>12</v>
      </c>
      <c r="AL20" s="202">
        <f>(AM20/26)*November2[[#This Row],[Total days]]+AQ20+AR20+AS20</f>
        <v>2348076.923076923</v>
      </c>
      <c r="AM20" s="230">
        <v>4000000</v>
      </c>
      <c r="AN20" s="76"/>
      <c r="AO20" s="76"/>
      <c r="AP20" s="76"/>
      <c r="AQ20" s="76">
        <f>AA38</f>
        <v>501923.07692307694</v>
      </c>
      <c r="AR20" s="76"/>
      <c r="AS20" s="76"/>
      <c r="AT20" s="193" t="s">
        <v>132</v>
      </c>
    </row>
    <row r="21" spans="1:55" ht="30" customHeight="1">
      <c r="B21" s="158">
        <v>12</v>
      </c>
      <c r="C21" s="31" t="s">
        <v>148</v>
      </c>
      <c r="D21" s="225" t="s">
        <v>72</v>
      </c>
      <c r="E21" s="229"/>
      <c r="F21" s="229"/>
      <c r="G21" s="255" t="s">
        <v>72</v>
      </c>
      <c r="H21" s="255" t="s">
        <v>72</v>
      </c>
      <c r="I21" s="255" t="s">
        <v>72</v>
      </c>
      <c r="J21" s="229"/>
      <c r="K21" s="255" t="s">
        <v>72</v>
      </c>
      <c r="L21" s="229"/>
      <c r="M21" s="229"/>
      <c r="N21" s="255" t="s">
        <v>72</v>
      </c>
      <c r="O21" s="255" t="s">
        <v>72</v>
      </c>
      <c r="P21" s="255" t="s">
        <v>72</v>
      </c>
      <c r="Q21" s="255" t="s">
        <v>72</v>
      </c>
      <c r="R21" s="255" t="s">
        <v>72</v>
      </c>
      <c r="S21" s="229"/>
      <c r="T21" s="229"/>
      <c r="U21" s="261" t="s">
        <v>72</v>
      </c>
      <c r="V21" s="261" t="s">
        <v>72</v>
      </c>
      <c r="W21" s="262" t="s">
        <v>72</v>
      </c>
      <c r="X21" s="263" t="s">
        <v>72</v>
      </c>
      <c r="Y21" s="264" t="s">
        <v>72</v>
      </c>
      <c r="Z21" s="229"/>
      <c r="AA21" s="229"/>
      <c r="AB21" s="265" t="s">
        <v>72</v>
      </c>
      <c r="AC21" s="276" t="s">
        <v>72</v>
      </c>
      <c r="AD21" s="276" t="s">
        <v>72</v>
      </c>
      <c r="AE21" s="276" t="s">
        <v>72</v>
      </c>
      <c r="AF21" s="276" t="s">
        <v>72</v>
      </c>
      <c r="AG21" s="236"/>
      <c r="AH21" s="32"/>
      <c r="AI21" s="3">
        <f>COUNTA(November2[[#This Row],[26]:[25]])</f>
        <v>20</v>
      </c>
      <c r="AL21" s="202">
        <f t="shared" si="0"/>
        <v>4940000</v>
      </c>
      <c r="AM21" s="230">
        <v>4500000</v>
      </c>
      <c r="AN21" s="76"/>
      <c r="AO21" s="76">
        <f>AJ5*November2[[#This Row],[Total days]]</f>
        <v>400000</v>
      </c>
      <c r="AP21" s="76">
        <v>40000</v>
      </c>
      <c r="AQ21" s="76"/>
      <c r="AR21" s="76"/>
      <c r="AS21" s="76"/>
      <c r="AT21" s="193" t="s">
        <v>131</v>
      </c>
    </row>
    <row r="22" spans="1:55" ht="30" customHeight="1">
      <c r="C22" s="31" t="s">
        <v>201</v>
      </c>
      <c r="D22" s="275" t="s">
        <v>72</v>
      </c>
      <c r="E22" s="229"/>
      <c r="F22" s="229"/>
      <c r="G22" s="275" t="s">
        <v>72</v>
      </c>
      <c r="H22" s="275" t="s">
        <v>72</v>
      </c>
      <c r="I22" s="275" t="s">
        <v>72</v>
      </c>
      <c r="J22" s="229"/>
      <c r="K22" s="275" t="s">
        <v>72</v>
      </c>
      <c r="L22" s="229"/>
      <c r="M22" s="229"/>
      <c r="N22" s="275" t="s">
        <v>72</v>
      </c>
      <c r="O22" s="275" t="s">
        <v>72</v>
      </c>
      <c r="P22" s="275" t="s">
        <v>72</v>
      </c>
      <c r="Q22" s="275" t="s">
        <v>72</v>
      </c>
      <c r="R22" s="275" t="s">
        <v>72</v>
      </c>
      <c r="S22" s="229"/>
      <c r="T22" s="229"/>
      <c r="U22" s="275" t="s">
        <v>72</v>
      </c>
      <c r="V22" s="275" t="s">
        <v>72</v>
      </c>
      <c r="W22" s="275" t="s">
        <v>72</v>
      </c>
      <c r="X22" s="275" t="s">
        <v>72</v>
      </c>
      <c r="Y22" s="275" t="s">
        <v>72</v>
      </c>
      <c r="Z22" s="229"/>
      <c r="AA22" s="229"/>
      <c r="AB22" s="275" t="s">
        <v>72</v>
      </c>
      <c r="AC22" s="276" t="s">
        <v>72</v>
      </c>
      <c r="AD22" s="276" t="s">
        <v>72</v>
      </c>
      <c r="AE22" s="276" t="s">
        <v>72</v>
      </c>
      <c r="AF22" s="276" t="s">
        <v>72</v>
      </c>
      <c r="AG22" s="275"/>
      <c r="AH22" s="32"/>
      <c r="AI22" s="3">
        <f>COUNTA(November2[[#This Row],[26]:[25]])</f>
        <v>20</v>
      </c>
      <c r="AL22" s="202">
        <f>AM22+AO22+AP22+AQ22+AR22+AS22</f>
        <v>4940000</v>
      </c>
      <c r="AM22" s="230">
        <v>4500000</v>
      </c>
      <c r="AN22" s="76"/>
      <c r="AO22" s="76">
        <f>AJ5*November2[[#This Row],[Total days]]</f>
        <v>400000</v>
      </c>
      <c r="AP22" s="76">
        <v>40000</v>
      </c>
      <c r="AQ22" s="76"/>
      <c r="AR22" s="76"/>
      <c r="AS22" s="76"/>
      <c r="AT22" s="193" t="s">
        <v>131</v>
      </c>
    </row>
    <row r="23" spans="1:55" ht="30" customHeight="1">
      <c r="B23" s="158">
        <v>13</v>
      </c>
      <c r="C23" s="31" t="s">
        <v>137</v>
      </c>
      <c r="D23" s="225" t="s">
        <v>72</v>
      </c>
      <c r="E23" s="229"/>
      <c r="F23" s="229"/>
      <c r="G23" s="255" t="s">
        <v>72</v>
      </c>
      <c r="H23" s="255" t="s">
        <v>72</v>
      </c>
      <c r="I23" s="255" t="s">
        <v>72</v>
      </c>
      <c r="J23" s="229"/>
      <c r="K23" s="255" t="s">
        <v>72</v>
      </c>
      <c r="L23" s="229"/>
      <c r="M23" s="229"/>
      <c r="N23" s="255" t="s">
        <v>72</v>
      </c>
      <c r="O23" s="255" t="s">
        <v>72</v>
      </c>
      <c r="P23" s="255" t="s">
        <v>72</v>
      </c>
      <c r="Q23" s="255" t="s">
        <v>72</v>
      </c>
      <c r="R23" s="255" t="s">
        <v>72</v>
      </c>
      <c r="S23" s="229"/>
      <c r="T23" s="229"/>
      <c r="U23" s="261" t="s">
        <v>72</v>
      </c>
      <c r="V23" s="261" t="s">
        <v>72</v>
      </c>
      <c r="W23" s="262" t="s">
        <v>72</v>
      </c>
      <c r="X23" s="263" t="s">
        <v>72</v>
      </c>
      <c r="Y23" s="264" t="s">
        <v>72</v>
      </c>
      <c r="Z23" s="229"/>
      <c r="AA23" s="229"/>
      <c r="AB23" s="265" t="s">
        <v>72</v>
      </c>
      <c r="AC23" s="276" t="s">
        <v>72</v>
      </c>
      <c r="AD23" s="276" t="s">
        <v>72</v>
      </c>
      <c r="AE23" s="276" t="s">
        <v>72</v>
      </c>
      <c r="AF23" s="276" t="s">
        <v>72</v>
      </c>
      <c r="AG23" s="236"/>
      <c r="AH23" s="32"/>
      <c r="AI23" s="3">
        <f>COUNTA(November2[[#This Row],[26]:[25]])</f>
        <v>20</v>
      </c>
      <c r="AL23" s="202">
        <f t="shared" si="0"/>
        <v>4940000</v>
      </c>
      <c r="AM23" s="230">
        <v>4500000</v>
      </c>
      <c r="AN23" s="76"/>
      <c r="AO23" s="76">
        <f>AJ5*November2[[#This Row],[Total days]]</f>
        <v>400000</v>
      </c>
      <c r="AP23" s="76">
        <v>40000</v>
      </c>
      <c r="AQ23" s="76"/>
      <c r="AR23" s="76"/>
      <c r="AS23" s="76"/>
      <c r="AT23" s="193" t="s">
        <v>131</v>
      </c>
    </row>
    <row r="24" spans="1:55" ht="30" customHeight="1">
      <c r="B24" s="158">
        <v>14</v>
      </c>
      <c r="C24" s="31" t="s">
        <v>169</v>
      </c>
      <c r="D24" s="225" t="s">
        <v>72</v>
      </c>
      <c r="E24" s="229"/>
      <c r="F24" s="229"/>
      <c r="G24" s="255" t="s">
        <v>72</v>
      </c>
      <c r="H24" s="255" t="s">
        <v>72</v>
      </c>
      <c r="I24" s="255" t="s">
        <v>72</v>
      </c>
      <c r="J24" s="229"/>
      <c r="K24" s="255" t="s">
        <v>72</v>
      </c>
      <c r="L24" s="229">
        <v>10</v>
      </c>
      <c r="M24" s="229"/>
      <c r="N24" s="255" t="s">
        <v>72</v>
      </c>
      <c r="O24" s="255">
        <v>3</v>
      </c>
      <c r="P24" s="255" t="s">
        <v>72</v>
      </c>
      <c r="Q24" s="255">
        <v>6</v>
      </c>
      <c r="R24" s="255" t="s">
        <v>72</v>
      </c>
      <c r="S24" s="229"/>
      <c r="T24" s="229"/>
      <c r="U24" s="261" t="s">
        <v>72</v>
      </c>
      <c r="V24" s="261" t="s">
        <v>72</v>
      </c>
      <c r="W24" s="262" t="s">
        <v>72</v>
      </c>
      <c r="X24" s="263" t="s">
        <v>72</v>
      </c>
      <c r="Y24" s="264" t="s">
        <v>72</v>
      </c>
      <c r="Z24" s="229"/>
      <c r="AA24" s="229"/>
      <c r="AB24" s="265" t="s">
        <v>72</v>
      </c>
      <c r="AC24" s="276" t="s">
        <v>72</v>
      </c>
      <c r="AD24" s="276" t="s">
        <v>72</v>
      </c>
      <c r="AE24" s="276" t="s">
        <v>72</v>
      </c>
      <c r="AF24" s="276" t="s">
        <v>72</v>
      </c>
      <c r="AG24" s="236"/>
      <c r="AH24" s="32"/>
      <c r="AI24" s="3">
        <f>COUNTA(November2[[#This Row],[26]:[25]])</f>
        <v>21</v>
      </c>
      <c r="AL24" s="202">
        <f>SUM(AM24:AU24)</f>
        <v>5688693.1818181816</v>
      </c>
      <c r="AM24" s="230">
        <v>4500000</v>
      </c>
      <c r="AN24" s="76"/>
      <c r="AO24" s="76">
        <f>AJ5*November2[[#This Row],[Total days]]</f>
        <v>420000</v>
      </c>
      <c r="AP24" s="76">
        <v>40000</v>
      </c>
      <c r="AQ24" s="76">
        <f>AA40</f>
        <v>728693.18181818188</v>
      </c>
      <c r="AR24" s="76"/>
      <c r="AS24" s="76"/>
      <c r="AT24" s="193" t="s">
        <v>205</v>
      </c>
    </row>
    <row r="25" spans="1:55" ht="30" customHeight="1">
      <c r="B25" s="158">
        <v>15</v>
      </c>
      <c r="C25" s="31" t="s">
        <v>147</v>
      </c>
      <c r="D25" s="225" t="s">
        <v>72</v>
      </c>
      <c r="E25" s="229"/>
      <c r="F25" s="229"/>
      <c r="G25" s="255" t="s">
        <v>72</v>
      </c>
      <c r="H25" s="255" t="s">
        <v>72</v>
      </c>
      <c r="I25" s="255" t="s">
        <v>72</v>
      </c>
      <c r="J25" s="229"/>
      <c r="K25" s="255" t="s">
        <v>72</v>
      </c>
      <c r="L25" s="229"/>
      <c r="M25" s="229"/>
      <c r="N25" s="255" t="s">
        <v>72</v>
      </c>
      <c r="O25" s="255" t="s">
        <v>72</v>
      </c>
      <c r="P25" s="255" t="s">
        <v>72</v>
      </c>
      <c r="Q25" s="255" t="s">
        <v>72</v>
      </c>
      <c r="R25" s="255" t="s">
        <v>72</v>
      </c>
      <c r="S25" s="229"/>
      <c r="T25" s="229"/>
      <c r="U25" s="261" t="s">
        <v>72</v>
      </c>
      <c r="V25" s="261" t="s">
        <v>72</v>
      </c>
      <c r="W25" s="262" t="s">
        <v>72</v>
      </c>
      <c r="X25" s="263" t="s">
        <v>72</v>
      </c>
      <c r="Y25" s="257"/>
      <c r="Z25" s="229"/>
      <c r="AA25" s="229"/>
      <c r="AB25" s="265" t="s">
        <v>72</v>
      </c>
      <c r="AC25" s="276" t="s">
        <v>72</v>
      </c>
      <c r="AD25" s="276" t="s">
        <v>72</v>
      </c>
      <c r="AE25" s="276" t="s">
        <v>72</v>
      </c>
      <c r="AF25" s="276" t="s">
        <v>72</v>
      </c>
      <c r="AG25" s="236"/>
      <c r="AH25" s="32"/>
      <c r="AI25" s="3">
        <f>COUNTA(November2[[#This Row],[26]:[25]])</f>
        <v>19</v>
      </c>
      <c r="AL25" s="202">
        <f t="shared" si="0"/>
        <v>4670000</v>
      </c>
      <c r="AM25" s="230">
        <v>4250000</v>
      </c>
      <c r="AN25" s="76"/>
      <c r="AO25" s="76">
        <f>AJ5*November2[[#This Row],[Total days]]</f>
        <v>380000</v>
      </c>
      <c r="AP25" s="76">
        <v>40000</v>
      </c>
      <c r="AQ25" s="76"/>
      <c r="AR25" s="76"/>
      <c r="AS25" s="76"/>
      <c r="AT25" s="193" t="s">
        <v>126</v>
      </c>
    </row>
    <row r="26" spans="1:55" ht="30" customHeight="1">
      <c r="B26" s="158">
        <v>16</v>
      </c>
      <c r="C26" s="31" t="s">
        <v>153</v>
      </c>
      <c r="D26" s="225" t="s">
        <v>72</v>
      </c>
      <c r="E26" s="229"/>
      <c r="F26" s="229"/>
      <c r="G26" s="255" t="s">
        <v>72</v>
      </c>
      <c r="H26" s="255" t="s">
        <v>72</v>
      </c>
      <c r="I26" s="255" t="s">
        <v>72</v>
      </c>
      <c r="J26" s="229"/>
      <c r="K26" s="255" t="s">
        <v>72</v>
      </c>
      <c r="L26" s="229"/>
      <c r="M26" s="229"/>
      <c r="N26" s="255" t="s">
        <v>72</v>
      </c>
      <c r="O26" s="255" t="s">
        <v>72</v>
      </c>
      <c r="P26" s="255" t="s">
        <v>72</v>
      </c>
      <c r="Q26" s="255" t="s">
        <v>72</v>
      </c>
      <c r="R26" s="255" t="s">
        <v>72</v>
      </c>
      <c r="S26" s="229"/>
      <c r="T26" s="229"/>
      <c r="U26" s="261" t="s">
        <v>72</v>
      </c>
      <c r="V26" s="261" t="s">
        <v>72</v>
      </c>
      <c r="W26" s="262" t="s">
        <v>72</v>
      </c>
      <c r="X26" s="263" t="s">
        <v>72</v>
      </c>
      <c r="Y26" s="264" t="s">
        <v>72</v>
      </c>
      <c r="Z26" s="229"/>
      <c r="AA26" s="229"/>
      <c r="AB26" s="265" t="s">
        <v>72</v>
      </c>
      <c r="AC26" s="276" t="s">
        <v>72</v>
      </c>
      <c r="AD26" s="276" t="s">
        <v>72</v>
      </c>
      <c r="AE26" s="276" t="s">
        <v>72</v>
      </c>
      <c r="AF26" s="276" t="s">
        <v>72</v>
      </c>
      <c r="AG26" s="236"/>
      <c r="AH26" s="32"/>
      <c r="AI26" s="3">
        <f>COUNTA(November2[[#This Row],[26]:[25]])</f>
        <v>20</v>
      </c>
      <c r="AL26" s="202">
        <f t="shared" si="0"/>
        <v>4690000</v>
      </c>
      <c r="AM26" s="230">
        <v>4250000</v>
      </c>
      <c r="AN26" s="76"/>
      <c r="AO26" s="76">
        <f>AJ5*November2[[#This Row],[Total days]]</f>
        <v>400000</v>
      </c>
      <c r="AP26" s="76">
        <v>40000</v>
      </c>
      <c r="AQ26" s="76"/>
      <c r="AR26" s="76"/>
      <c r="AS26" s="76"/>
      <c r="AT26" s="193" t="s">
        <v>126</v>
      </c>
    </row>
    <row r="27" spans="1:55" ht="30" customHeight="1">
      <c r="B27" s="158">
        <v>17</v>
      </c>
      <c r="C27" s="31" t="s">
        <v>144</v>
      </c>
      <c r="D27" s="225" t="s">
        <v>72</v>
      </c>
      <c r="E27" s="229"/>
      <c r="F27" s="229"/>
      <c r="G27" s="255" t="s">
        <v>72</v>
      </c>
      <c r="H27" s="255" t="s">
        <v>72</v>
      </c>
      <c r="I27" s="255" t="s">
        <v>72</v>
      </c>
      <c r="J27" s="229"/>
      <c r="K27" s="255" t="s">
        <v>72</v>
      </c>
      <c r="L27" s="229"/>
      <c r="M27" s="229"/>
      <c r="N27" s="255" t="s">
        <v>72</v>
      </c>
      <c r="O27" s="255" t="s">
        <v>72</v>
      </c>
      <c r="P27" s="255" t="s">
        <v>72</v>
      </c>
      <c r="Q27" s="255" t="s">
        <v>72</v>
      </c>
      <c r="R27" s="255" t="s">
        <v>72</v>
      </c>
      <c r="S27" s="229"/>
      <c r="T27" s="229"/>
      <c r="U27" s="261" t="s">
        <v>72</v>
      </c>
      <c r="V27" s="261" t="s">
        <v>72</v>
      </c>
      <c r="W27" s="262" t="s">
        <v>72</v>
      </c>
      <c r="X27" s="263" t="s">
        <v>72</v>
      </c>
      <c r="Y27" s="264" t="s">
        <v>72</v>
      </c>
      <c r="Z27" s="229"/>
      <c r="AA27" s="229"/>
      <c r="AB27" s="265" t="s">
        <v>72</v>
      </c>
      <c r="AC27" s="276" t="s">
        <v>72</v>
      </c>
      <c r="AD27" s="276" t="s">
        <v>72</v>
      </c>
      <c r="AE27" s="276" t="s">
        <v>72</v>
      </c>
      <c r="AF27" s="276" t="s">
        <v>72</v>
      </c>
      <c r="AG27" s="236"/>
      <c r="AH27" s="32"/>
      <c r="AI27" s="3">
        <f>COUNTA(November2[[#This Row],[26]:[25]])</f>
        <v>20</v>
      </c>
      <c r="AL27" s="202">
        <f t="shared" si="0"/>
        <v>4690000</v>
      </c>
      <c r="AM27" s="230">
        <v>4250000</v>
      </c>
      <c r="AN27" s="76"/>
      <c r="AO27" s="76">
        <f>AJ5*November2[[#This Row],[Total days]]</f>
        <v>400000</v>
      </c>
      <c r="AP27" s="76">
        <v>40000</v>
      </c>
      <c r="AQ27" s="76"/>
      <c r="AR27" s="76"/>
      <c r="AS27" s="76"/>
      <c r="AT27" s="193" t="s">
        <v>126</v>
      </c>
    </row>
    <row r="28" spans="1:55" ht="30" customHeight="1">
      <c r="B28" s="158">
        <v>19</v>
      </c>
      <c r="C28" s="31" t="s">
        <v>186</v>
      </c>
      <c r="D28" s="255" t="s">
        <v>72</v>
      </c>
      <c r="E28" s="235"/>
      <c r="F28" s="235"/>
      <c r="G28" s="255" t="s">
        <v>72</v>
      </c>
      <c r="H28" s="255" t="s">
        <v>72</v>
      </c>
      <c r="I28" s="255" t="s">
        <v>72</v>
      </c>
      <c r="J28" s="235"/>
      <c r="K28" s="255" t="s">
        <v>72</v>
      </c>
      <c r="L28" s="235"/>
      <c r="M28" s="235"/>
      <c r="N28" s="255" t="s">
        <v>72</v>
      </c>
      <c r="O28" s="255" t="s">
        <v>72</v>
      </c>
      <c r="P28" s="255" t="s">
        <v>72</v>
      </c>
      <c r="Q28" s="255" t="s">
        <v>72</v>
      </c>
      <c r="R28" s="255" t="s">
        <v>72</v>
      </c>
      <c r="S28" s="235"/>
      <c r="T28" s="235"/>
      <c r="U28" s="261" t="s">
        <v>72</v>
      </c>
      <c r="V28" s="261" t="s">
        <v>72</v>
      </c>
      <c r="W28" s="262" t="s">
        <v>72</v>
      </c>
      <c r="X28" s="263" t="s">
        <v>72</v>
      </c>
      <c r="Y28" s="264" t="s">
        <v>72</v>
      </c>
      <c r="Z28" s="235"/>
      <c r="AA28" s="235"/>
      <c r="AB28" s="265" t="s">
        <v>72</v>
      </c>
      <c r="AC28" s="276" t="s">
        <v>72</v>
      </c>
      <c r="AD28" s="276" t="s">
        <v>72</v>
      </c>
      <c r="AE28" s="276" t="s">
        <v>72</v>
      </c>
      <c r="AF28" s="276" t="s">
        <v>72</v>
      </c>
      <c r="AG28" s="236"/>
      <c r="AH28" s="32"/>
      <c r="AI28" s="3">
        <f>COUNTA(November2[[#This Row],[26]:[25]])</f>
        <v>20</v>
      </c>
      <c r="AL28" s="202">
        <f>AM28</f>
        <v>1500000</v>
      </c>
      <c r="AM28" s="76">
        <v>1500000</v>
      </c>
      <c r="AN28" s="76"/>
      <c r="AO28" s="76"/>
      <c r="AP28" s="76"/>
      <c r="AQ28" s="76"/>
      <c r="AR28" s="76"/>
      <c r="AS28" s="76"/>
      <c r="AT28" s="193" t="s">
        <v>133</v>
      </c>
    </row>
    <row r="29" spans="1:55" ht="30" customHeight="1">
      <c r="C29" s="5" t="str">
        <f>MonthName&amp;" Total"</f>
        <v xml:space="preserve"> Total</v>
      </c>
      <c r="D29" s="4">
        <f>SUBTOTAL(103,November2[26])</f>
        <v>16</v>
      </c>
      <c r="E29" s="4">
        <f>SUBTOTAL(103,November2[27])</f>
        <v>2</v>
      </c>
      <c r="F29" s="4">
        <f>SUBTOTAL(103,November2[28])</f>
        <v>0</v>
      </c>
      <c r="G29" s="4">
        <f>SUBTOTAL(103,November2[29])</f>
        <v>16</v>
      </c>
      <c r="H29" s="4">
        <f>SUBTOTAL(103,November2[30])</f>
        <v>16</v>
      </c>
      <c r="I29" s="4">
        <f>SUBTOTAL(103,November2[31])</f>
        <v>16</v>
      </c>
      <c r="J29" s="4">
        <f>SUBTOTAL(103,November2[1])</f>
        <v>0</v>
      </c>
      <c r="K29" s="4">
        <f>SUBTOTAL(103,November2[2])</f>
        <v>17</v>
      </c>
      <c r="L29" s="4">
        <f>SUBTOTAL(103,November2[3])</f>
        <v>5</v>
      </c>
      <c r="M29" s="4">
        <f>SUBTOTAL(103,November2[4])</f>
        <v>0</v>
      </c>
      <c r="N29" s="4">
        <f>SUBTOTAL(103,November2[5])</f>
        <v>17</v>
      </c>
      <c r="O29" s="4">
        <f>SUBTOTAL(103,November2[6])</f>
        <v>17</v>
      </c>
      <c r="P29" s="4">
        <f>SUBTOTAL(103,November2[7])</f>
        <v>16</v>
      </c>
      <c r="Q29" s="4">
        <f>SUBTOTAL(103,November2[8])</f>
        <v>18</v>
      </c>
      <c r="R29" s="4">
        <f>SUBTOTAL(103,November2[9])</f>
        <v>17</v>
      </c>
      <c r="S29" s="4">
        <f>SUBTOTAL(103,November2[10])</f>
        <v>4</v>
      </c>
      <c r="T29" s="4">
        <f>SUBTOTAL(103,November2[11])</f>
        <v>0</v>
      </c>
      <c r="U29" s="4">
        <f>SUBTOTAL(103,November2[12])</f>
        <v>19</v>
      </c>
      <c r="V29" s="4">
        <f>SUBTOTAL(103,November2[13])</f>
        <v>19</v>
      </c>
      <c r="W29" s="4">
        <f>SUBTOTAL(103,November2[14])</f>
        <v>19</v>
      </c>
      <c r="X29" s="4">
        <f>SUBTOTAL(103,November2[15])</f>
        <v>18</v>
      </c>
      <c r="Y29" s="4">
        <f>SUBTOTAL(103,November2[16])</f>
        <v>17</v>
      </c>
      <c r="Z29" s="4">
        <f>SUBTOTAL(103,November2[17])</f>
        <v>5</v>
      </c>
      <c r="AA29" s="4">
        <f>SUBTOTAL(103,November2[18])</f>
        <v>4</v>
      </c>
      <c r="AB29" s="4">
        <f>SUBTOTAL(103,November2[19])</f>
        <v>19</v>
      </c>
      <c r="AC29" s="4">
        <f>SUBTOTAL(103,November2[20])</f>
        <v>19</v>
      </c>
      <c r="AD29" s="4">
        <f>SUBTOTAL(103,November2[21])</f>
        <v>19</v>
      </c>
      <c r="AE29" s="4">
        <f>SUBTOTAL(103,November2[22])</f>
        <v>19</v>
      </c>
      <c r="AF29" s="4">
        <f>SUBTOTAL(103,November2[23])</f>
        <v>19</v>
      </c>
      <c r="AG29" s="4">
        <f>SUBTOTAL(109,November2[24])</f>
        <v>0</v>
      </c>
      <c r="AH29" s="4">
        <f>SUBTOTAL(109,November2[25])</f>
        <v>12</v>
      </c>
      <c r="AI29" s="4">
        <f>SUBTOTAL(109,November2[Total days])</f>
        <v>380</v>
      </c>
      <c r="AL29" s="203">
        <f>SUM(AL9:AL28)</f>
        <v>98141883.741258755</v>
      </c>
      <c r="AM29" s="204">
        <f>SUM(AM9:AM28)</f>
        <v>84095000</v>
      </c>
      <c r="AN29" s="204"/>
      <c r="AO29" s="204">
        <f>SUM(AO9:AO28)</f>
        <v>4940000</v>
      </c>
      <c r="AP29" s="204">
        <f>SUM(AP9:AP28)</f>
        <v>500000</v>
      </c>
      <c r="AQ29" s="204">
        <f>SUM(AQ9:AQ28)</f>
        <v>4836691.4335664334</v>
      </c>
      <c r="AR29" s="204">
        <f>SUM(AR9:AR28)</f>
        <v>0</v>
      </c>
      <c r="AS29" s="204">
        <f>SUM(AS9:AS28)</f>
        <v>0</v>
      </c>
    </row>
    <row r="31" spans="1:55" s="51" customFormat="1" ht="31.8" customHeight="1">
      <c r="AB31" s="337" t="s">
        <v>206</v>
      </c>
      <c r="AV31" s="268"/>
      <c r="AW31" s="268"/>
      <c r="AX31" s="268"/>
      <c r="AY31" s="267"/>
      <c r="AZ31" s="270"/>
      <c r="BA31" s="270"/>
      <c r="BB31" s="270"/>
      <c r="BC31" s="267"/>
    </row>
    <row r="32" spans="1:55" s="51" customFormat="1" ht="31.8" customHeight="1">
      <c r="B32" s="216"/>
      <c r="C32" s="226" t="s">
        <v>179</v>
      </c>
      <c r="D32" s="322" t="s">
        <v>180</v>
      </c>
      <c r="E32" s="323"/>
      <c r="F32" s="323"/>
      <c r="G32" s="323"/>
      <c r="H32" s="323"/>
      <c r="I32" s="323"/>
      <c r="J32" s="323"/>
      <c r="K32" s="323"/>
      <c r="L32" s="323"/>
      <c r="M32" s="323"/>
      <c r="N32" s="324"/>
      <c r="O32" s="322" t="s">
        <v>183</v>
      </c>
      <c r="P32" s="323"/>
      <c r="Q32" s="323"/>
      <c r="R32" s="323"/>
      <c r="S32" s="323"/>
      <c r="T32" s="323"/>
      <c r="U32" s="323"/>
      <c r="V32" s="323"/>
      <c r="W32" s="323"/>
      <c r="X32" s="323"/>
      <c r="Y32" s="323"/>
      <c r="Z32" s="324"/>
      <c r="AA32" s="322" t="s">
        <v>181</v>
      </c>
      <c r="AB32" s="323"/>
      <c r="AC32" s="323"/>
      <c r="AD32" s="323"/>
      <c r="AE32" s="323"/>
      <c r="AF32" s="324"/>
      <c r="AG32" s="328" t="s">
        <v>182</v>
      </c>
      <c r="AH32" s="328"/>
      <c r="AI32" s="328"/>
      <c r="AP32" s="212"/>
      <c r="AQ32" s="337" t="s">
        <v>206</v>
      </c>
      <c r="AR32" s="212"/>
      <c r="AS32" s="212"/>
      <c r="AT32" s="212"/>
      <c r="AV32" s="268"/>
      <c r="AW32" s="268"/>
      <c r="AX32" s="268"/>
      <c r="AY32" s="267"/>
      <c r="AZ32" s="270"/>
      <c r="BA32" s="270"/>
      <c r="BB32" s="270"/>
      <c r="BC32" s="267"/>
    </row>
    <row r="33" spans="2:55" s="51" customFormat="1" ht="31.8" hidden="1" customHeight="1">
      <c r="B33" s="216">
        <v>1</v>
      </c>
      <c r="C33" s="218" t="s">
        <v>116</v>
      </c>
      <c r="D33" s="325"/>
      <c r="E33" s="326"/>
      <c r="F33" s="326"/>
      <c r="G33" s="326"/>
      <c r="H33" s="327"/>
      <c r="I33" s="325" t="e">
        <f>#REF!*D33</f>
        <v>#REF!</v>
      </c>
      <c r="J33" s="326"/>
      <c r="K33" s="326"/>
      <c r="L33" s="326"/>
      <c r="M33" s="326"/>
      <c r="N33" s="327"/>
      <c r="O33" s="325"/>
      <c r="P33" s="326"/>
      <c r="Q33" s="326"/>
      <c r="R33" s="326"/>
      <c r="S33" s="326"/>
      <c r="T33" s="327"/>
      <c r="U33" s="325"/>
      <c r="V33" s="326"/>
      <c r="W33" s="326"/>
      <c r="X33" s="326"/>
      <c r="Y33" s="326"/>
      <c r="Z33" s="327"/>
      <c r="AA33" s="325" t="e">
        <f>I33+U33</f>
        <v>#REF!</v>
      </c>
      <c r="AB33" s="326"/>
      <c r="AC33" s="326"/>
      <c r="AD33" s="326"/>
      <c r="AE33" s="326"/>
      <c r="AF33" s="327"/>
      <c r="AG33" s="328"/>
      <c r="AH33" s="328"/>
      <c r="AI33" s="328"/>
      <c r="AP33" s="212"/>
      <c r="AQ33" s="212"/>
      <c r="AR33" s="212"/>
      <c r="AS33" s="212"/>
      <c r="AT33" s="212"/>
      <c r="AV33" s="268"/>
      <c r="AW33" s="268"/>
      <c r="AX33" s="268"/>
      <c r="AY33" s="267"/>
      <c r="AZ33" s="270"/>
      <c r="BA33" s="270"/>
      <c r="BB33" s="270"/>
      <c r="BC33" s="267"/>
    </row>
    <row r="34" spans="2:55" s="51" customFormat="1" ht="31.8" customHeight="1">
      <c r="B34" s="216">
        <v>1</v>
      </c>
      <c r="C34" s="219" t="s">
        <v>171</v>
      </c>
      <c r="D34" s="325"/>
      <c r="E34" s="326"/>
      <c r="F34" s="326"/>
      <c r="G34" s="326"/>
      <c r="H34" s="327"/>
      <c r="I34" s="325">
        <f>AW14*D34</f>
        <v>0</v>
      </c>
      <c r="J34" s="326"/>
      <c r="K34" s="326"/>
      <c r="L34" s="326"/>
      <c r="M34" s="326"/>
      <c r="N34" s="327"/>
      <c r="O34" s="325">
        <v>8</v>
      </c>
      <c r="P34" s="326"/>
      <c r="Q34" s="326"/>
      <c r="R34" s="326"/>
      <c r="S34" s="326"/>
      <c r="T34" s="327"/>
      <c r="U34" s="325">
        <f>AX14*O34</f>
        <v>492788.46153846156</v>
      </c>
      <c r="V34" s="326"/>
      <c r="W34" s="326"/>
      <c r="X34" s="326"/>
      <c r="Y34" s="326"/>
      <c r="Z34" s="327"/>
      <c r="AA34" s="325">
        <f t="shared" ref="AA34" si="5">I34+U34</f>
        <v>492788.46153846156</v>
      </c>
      <c r="AB34" s="326"/>
      <c r="AC34" s="326"/>
      <c r="AD34" s="326"/>
      <c r="AE34" s="326"/>
      <c r="AF34" s="327"/>
      <c r="AG34" s="328"/>
      <c r="AH34" s="328"/>
      <c r="AI34" s="328"/>
      <c r="AL34" s="212"/>
      <c r="AM34" s="212"/>
      <c r="AN34" s="212"/>
      <c r="AO34" s="212"/>
      <c r="AP34" s="212"/>
      <c r="AQ34" s="269"/>
      <c r="AR34" s="269"/>
      <c r="AS34" s="268"/>
      <c r="AT34" s="267"/>
      <c r="AU34" s="270"/>
      <c r="AV34" s="270"/>
      <c r="AW34" s="270"/>
      <c r="AX34" s="267"/>
    </row>
    <row r="35" spans="2:55" s="51" customFormat="1" ht="42" customHeight="1">
      <c r="B35" s="216">
        <v>2</v>
      </c>
      <c r="C35" s="220" t="s">
        <v>154</v>
      </c>
      <c r="D35" s="325"/>
      <c r="E35" s="326"/>
      <c r="F35" s="326"/>
      <c r="G35" s="326"/>
      <c r="H35" s="327"/>
      <c r="I35" s="325">
        <f>AW15*D35</f>
        <v>0</v>
      </c>
      <c r="J35" s="326"/>
      <c r="K35" s="326"/>
      <c r="L35" s="326"/>
      <c r="M35" s="326"/>
      <c r="N35" s="327"/>
      <c r="O35" s="325">
        <v>12</v>
      </c>
      <c r="P35" s="326"/>
      <c r="Q35" s="326"/>
      <c r="R35" s="326"/>
      <c r="S35" s="326"/>
      <c r="T35" s="327"/>
      <c r="U35" s="325">
        <f>AX15*O35</f>
        <v>612980.76923076925</v>
      </c>
      <c r="V35" s="326"/>
      <c r="W35" s="326"/>
      <c r="X35" s="326"/>
      <c r="Y35" s="326"/>
      <c r="Z35" s="327"/>
      <c r="AA35" s="325">
        <f t="shared" ref="AA35:AA41" si="6">I35+U35</f>
        <v>612980.76923076925</v>
      </c>
      <c r="AB35" s="326"/>
      <c r="AC35" s="326"/>
      <c r="AD35" s="326"/>
      <c r="AE35" s="326"/>
      <c r="AF35" s="327"/>
      <c r="AG35" s="328"/>
      <c r="AH35" s="328"/>
      <c r="AI35" s="328"/>
      <c r="AL35" s="212"/>
      <c r="AM35" s="212"/>
      <c r="AN35" s="212"/>
      <c r="AO35" s="212"/>
      <c r="AP35" s="212"/>
      <c r="AQ35" s="269"/>
      <c r="AR35" s="269"/>
      <c r="AS35" s="268"/>
      <c r="AT35" s="267"/>
      <c r="AU35" s="270"/>
      <c r="AV35" s="270"/>
      <c r="AW35" s="270"/>
      <c r="AX35" s="267"/>
    </row>
    <row r="36" spans="2:55" s="51" customFormat="1" ht="31.8" customHeight="1">
      <c r="B36" s="216">
        <v>3</v>
      </c>
      <c r="C36" s="219" t="s">
        <v>192</v>
      </c>
      <c r="D36" s="325"/>
      <c r="E36" s="326"/>
      <c r="F36" s="326"/>
      <c r="G36" s="326"/>
      <c r="H36" s="327"/>
      <c r="I36" s="325">
        <f>AW15*D36</f>
        <v>0</v>
      </c>
      <c r="J36" s="326"/>
      <c r="K36" s="326"/>
      <c r="L36" s="326"/>
      <c r="M36" s="326"/>
      <c r="N36" s="327"/>
      <c r="O36" s="325">
        <v>12</v>
      </c>
      <c r="P36" s="326"/>
      <c r="Q36" s="326"/>
      <c r="R36" s="326"/>
      <c r="S36" s="326"/>
      <c r="T36" s="327"/>
      <c r="U36" s="325">
        <f>AX15*O36</f>
        <v>612980.76923076925</v>
      </c>
      <c r="V36" s="326"/>
      <c r="W36" s="326"/>
      <c r="X36" s="326"/>
      <c r="Y36" s="326"/>
      <c r="Z36" s="327"/>
      <c r="AA36" s="325">
        <f t="shared" si="6"/>
        <v>612980.76923076925</v>
      </c>
      <c r="AB36" s="326"/>
      <c r="AC36" s="326"/>
      <c r="AD36" s="326"/>
      <c r="AE36" s="326"/>
      <c r="AF36" s="327"/>
      <c r="AG36" s="328"/>
      <c r="AH36" s="328"/>
      <c r="AI36" s="328"/>
      <c r="AL36" s="212"/>
      <c r="AM36" s="212"/>
      <c r="AN36" s="212"/>
      <c r="AO36" s="212"/>
      <c r="AP36" s="212"/>
      <c r="AQ36" s="269"/>
      <c r="AR36" s="269"/>
      <c r="AS36" s="268"/>
      <c r="AT36" s="267"/>
      <c r="AU36" s="270"/>
      <c r="AV36" s="270"/>
      <c r="AW36" s="270"/>
      <c r="AX36" s="267"/>
    </row>
    <row r="37" spans="2:55" s="51" customFormat="1" ht="31.8" customHeight="1">
      <c r="B37" s="216">
        <v>4</v>
      </c>
      <c r="C37" s="219" t="s">
        <v>195</v>
      </c>
      <c r="D37" s="325"/>
      <c r="E37" s="326"/>
      <c r="F37" s="326"/>
      <c r="G37" s="326"/>
      <c r="H37" s="327"/>
      <c r="I37" s="325">
        <f>AW16*D37</f>
        <v>0</v>
      </c>
      <c r="J37" s="326"/>
      <c r="K37" s="326"/>
      <c r="L37" s="326"/>
      <c r="M37" s="326"/>
      <c r="N37" s="327"/>
      <c r="O37" s="325">
        <v>4</v>
      </c>
      <c r="P37" s="326"/>
      <c r="Q37" s="326"/>
      <c r="R37" s="326"/>
      <c r="S37" s="326"/>
      <c r="T37" s="327"/>
      <c r="U37" s="325">
        <f>AX16*O37</f>
        <v>250961.53846153847</v>
      </c>
      <c r="V37" s="326"/>
      <c r="W37" s="326"/>
      <c r="X37" s="326"/>
      <c r="Y37" s="326"/>
      <c r="Z37" s="327"/>
      <c r="AA37" s="325">
        <f t="shared" ref="AA37" si="7">I37+U37</f>
        <v>250961.53846153847</v>
      </c>
      <c r="AB37" s="326"/>
      <c r="AC37" s="326"/>
      <c r="AD37" s="326"/>
      <c r="AE37" s="326"/>
      <c r="AF37" s="327"/>
      <c r="AG37" s="328"/>
      <c r="AH37" s="328"/>
      <c r="AI37" s="328"/>
      <c r="AL37" s="212"/>
      <c r="AM37" s="212"/>
      <c r="AN37" s="212"/>
      <c r="AO37" s="212"/>
      <c r="AP37" s="212"/>
      <c r="AQ37" s="269"/>
      <c r="AR37" s="269"/>
      <c r="AS37" s="268"/>
      <c r="AT37" s="267"/>
      <c r="AU37" s="270"/>
      <c r="AV37" s="270"/>
      <c r="AW37" s="270"/>
      <c r="AX37" s="267"/>
    </row>
    <row r="38" spans="2:55" s="51" customFormat="1" ht="31.8" customHeight="1">
      <c r="B38" s="216">
        <v>5</v>
      </c>
      <c r="C38" s="220" t="s">
        <v>193</v>
      </c>
      <c r="D38" s="325"/>
      <c r="E38" s="326"/>
      <c r="F38" s="326"/>
      <c r="G38" s="326"/>
      <c r="H38" s="327"/>
      <c r="I38" s="325">
        <f>AW17*D38</f>
        <v>0</v>
      </c>
      <c r="J38" s="326"/>
      <c r="K38" s="326"/>
      <c r="L38" s="326"/>
      <c r="M38" s="326"/>
      <c r="N38" s="327"/>
      <c r="O38" s="325">
        <v>8</v>
      </c>
      <c r="P38" s="326"/>
      <c r="Q38" s="326"/>
      <c r="R38" s="326"/>
      <c r="S38" s="326"/>
      <c r="T38" s="327"/>
      <c r="U38" s="325">
        <f>AX16*O38</f>
        <v>501923.07692307694</v>
      </c>
      <c r="V38" s="326"/>
      <c r="W38" s="326"/>
      <c r="X38" s="326"/>
      <c r="Y38" s="326"/>
      <c r="Z38" s="327"/>
      <c r="AA38" s="325">
        <f t="shared" si="6"/>
        <v>501923.07692307694</v>
      </c>
      <c r="AB38" s="326"/>
      <c r="AC38" s="326"/>
      <c r="AD38" s="326"/>
      <c r="AE38" s="326"/>
      <c r="AF38" s="327"/>
      <c r="AG38" s="328"/>
      <c r="AH38" s="328"/>
      <c r="AI38" s="328"/>
      <c r="AL38" s="212"/>
      <c r="AM38" s="212"/>
      <c r="AN38" s="212"/>
      <c r="AO38" s="212"/>
      <c r="AP38" s="212"/>
      <c r="AQ38" s="269"/>
      <c r="AR38" s="269"/>
      <c r="AS38" s="268"/>
      <c r="AT38" s="267"/>
      <c r="AU38" s="270"/>
      <c r="AV38" s="270"/>
      <c r="AW38" s="270"/>
      <c r="AX38" s="267"/>
    </row>
    <row r="39" spans="2:55" s="51" customFormat="1" ht="31.8" customHeight="1">
      <c r="B39" s="216">
        <v>6</v>
      </c>
      <c r="C39" s="219" t="s">
        <v>124</v>
      </c>
      <c r="D39" s="325">
        <v>22</v>
      </c>
      <c r="E39" s="326"/>
      <c r="F39" s="326"/>
      <c r="G39" s="326"/>
      <c r="H39" s="327"/>
      <c r="I39" s="325">
        <f>BA15*D39</f>
        <v>1406250</v>
      </c>
      <c r="J39" s="326"/>
      <c r="K39" s="326"/>
      <c r="L39" s="326"/>
      <c r="M39" s="326"/>
      <c r="N39" s="327"/>
      <c r="O39" s="325"/>
      <c r="P39" s="326"/>
      <c r="Q39" s="326"/>
      <c r="R39" s="326"/>
      <c r="S39" s="326"/>
      <c r="T39" s="327"/>
      <c r="U39" s="325">
        <f>BB15*O39</f>
        <v>0</v>
      </c>
      <c r="V39" s="326"/>
      <c r="W39" s="326"/>
      <c r="X39" s="326"/>
      <c r="Y39" s="326"/>
      <c r="Z39" s="327"/>
      <c r="AA39" s="325">
        <f t="shared" si="6"/>
        <v>1406250</v>
      </c>
      <c r="AB39" s="326"/>
      <c r="AC39" s="326"/>
      <c r="AD39" s="326"/>
      <c r="AE39" s="326"/>
      <c r="AF39" s="327"/>
      <c r="AG39" s="328"/>
      <c r="AH39" s="328"/>
      <c r="AI39" s="328"/>
      <c r="AL39" s="212"/>
      <c r="AM39" s="212"/>
      <c r="AN39" s="212"/>
      <c r="AO39" s="212"/>
      <c r="AP39" s="212"/>
      <c r="AQ39" s="269"/>
      <c r="AR39" s="269"/>
      <c r="AS39" s="268"/>
      <c r="AT39" s="267"/>
      <c r="AU39" s="270"/>
      <c r="AV39" s="270"/>
      <c r="AW39" s="270"/>
      <c r="AX39" s="267"/>
    </row>
    <row r="40" spans="2:55" s="51" customFormat="1" ht="30" customHeight="1">
      <c r="B40" s="216">
        <v>7</v>
      </c>
      <c r="C40" s="220" t="s">
        <v>169</v>
      </c>
      <c r="D40" s="326">
        <v>19</v>
      </c>
      <c r="E40" s="326"/>
      <c r="F40" s="326"/>
      <c r="G40" s="326"/>
      <c r="H40" s="327"/>
      <c r="I40" s="325">
        <f>BA14*D40</f>
        <v>728693.18181818188</v>
      </c>
      <c r="J40" s="326"/>
      <c r="K40" s="326"/>
      <c r="L40" s="326"/>
      <c r="M40" s="326"/>
      <c r="N40" s="327"/>
      <c r="O40" s="325"/>
      <c r="P40" s="326"/>
      <c r="Q40" s="326"/>
      <c r="R40" s="326"/>
      <c r="S40" s="326"/>
      <c r="T40" s="327"/>
      <c r="U40" s="325">
        <f>BB14*O40</f>
        <v>0</v>
      </c>
      <c r="V40" s="326"/>
      <c r="W40" s="326"/>
      <c r="X40" s="326"/>
      <c r="Y40" s="326"/>
      <c r="Z40" s="327"/>
      <c r="AA40" s="325">
        <f t="shared" si="6"/>
        <v>728693.18181818188</v>
      </c>
      <c r="AB40" s="326"/>
      <c r="AC40" s="326"/>
      <c r="AD40" s="326"/>
      <c r="AE40" s="326"/>
      <c r="AF40" s="327"/>
      <c r="AG40" s="328"/>
      <c r="AH40" s="328"/>
      <c r="AI40" s="328"/>
      <c r="AL40" s="212"/>
      <c r="AM40" s="212"/>
      <c r="AN40" s="212"/>
      <c r="AO40" s="212"/>
      <c r="AP40" s="212"/>
      <c r="AQ40" s="269"/>
      <c r="AR40" s="269"/>
      <c r="AS40" s="268"/>
      <c r="AT40" s="267"/>
      <c r="AU40" s="270"/>
      <c r="AV40" s="270"/>
      <c r="AW40" s="270"/>
      <c r="AX40" s="267"/>
    </row>
    <row r="41" spans="2:55" ht="30" customHeight="1">
      <c r="B41" s="274">
        <v>8</v>
      </c>
      <c r="C41" s="220" t="s">
        <v>172</v>
      </c>
      <c r="D41" s="326">
        <v>6</v>
      </c>
      <c r="E41" s="326"/>
      <c r="F41" s="326"/>
      <c r="G41" s="326"/>
      <c r="H41" s="327"/>
      <c r="I41" s="325">
        <f>BA14*D41</f>
        <v>230113.63636363635</v>
      </c>
      <c r="J41" s="326"/>
      <c r="K41" s="326"/>
      <c r="L41" s="326"/>
      <c r="M41" s="326"/>
      <c r="N41" s="327"/>
      <c r="O41" s="325"/>
      <c r="P41" s="326"/>
      <c r="Q41" s="326"/>
      <c r="R41" s="326"/>
      <c r="S41" s="326"/>
      <c r="T41" s="327"/>
      <c r="U41" s="325">
        <f>BB14*O41</f>
        <v>0</v>
      </c>
      <c r="V41" s="326"/>
      <c r="W41" s="326"/>
      <c r="X41" s="326"/>
      <c r="Y41" s="326"/>
      <c r="Z41" s="327"/>
      <c r="AA41" s="325">
        <f t="shared" si="6"/>
        <v>230113.63636363635</v>
      </c>
      <c r="AB41" s="326"/>
      <c r="AC41" s="326"/>
      <c r="AD41" s="326"/>
      <c r="AE41" s="326"/>
      <c r="AF41" s="327"/>
      <c r="AG41" s="328"/>
      <c r="AH41" s="328"/>
      <c r="AI41" s="328"/>
      <c r="AL41" s="129"/>
      <c r="AM41" s="129"/>
      <c r="AN41" s="129"/>
      <c r="AO41" s="178"/>
      <c r="AP41" s="129"/>
      <c r="AQ41" s="269"/>
      <c r="AR41" s="269"/>
      <c r="AS41" s="268"/>
      <c r="AT41" s="267"/>
      <c r="AU41" s="270"/>
      <c r="AV41" s="270"/>
      <c r="AW41" s="270"/>
      <c r="AX41" s="267"/>
      <c r="AY41"/>
      <c r="AZ41"/>
      <c r="BA41"/>
      <c r="BB41"/>
      <c r="BC41"/>
    </row>
    <row r="42" spans="2:55" ht="30" customHeight="1">
      <c r="AA42" s="330">
        <f>SUM(AA34:AF41)</f>
        <v>4836691.4335664343</v>
      </c>
      <c r="AB42" s="330"/>
      <c r="AC42" s="330"/>
      <c r="AD42" s="330"/>
      <c r="AE42" s="330"/>
      <c r="AF42" s="330"/>
      <c r="AL42" s="129"/>
      <c r="AM42" s="129"/>
      <c r="AN42" s="129"/>
      <c r="AO42" s="178"/>
      <c r="AP42" s="129"/>
      <c r="AQ42" s="269"/>
      <c r="AR42" s="269"/>
      <c r="AS42" s="268"/>
      <c r="AT42" s="267"/>
      <c r="AU42" s="270"/>
      <c r="AV42" s="270"/>
      <c r="AW42" s="270"/>
      <c r="AX42" s="267"/>
      <c r="AY42"/>
      <c r="AZ42"/>
      <c r="BA42"/>
      <c r="BB42"/>
      <c r="BC42"/>
    </row>
    <row r="43" spans="2:55" s="51" customFormat="1" ht="30" customHeight="1">
      <c r="AP43" s="212"/>
      <c r="AQ43" s="212"/>
      <c r="AR43" s="212"/>
      <c r="AS43" s="212"/>
      <c r="AT43" s="212"/>
      <c r="AU43" s="212"/>
      <c r="AV43" s="334"/>
      <c r="AW43" s="334"/>
      <c r="AX43" s="335"/>
      <c r="AZ43" s="336"/>
      <c r="BA43" s="336"/>
      <c r="BB43" s="336"/>
    </row>
    <row r="44" spans="2:55" s="51" customFormat="1" ht="30" customHeight="1">
      <c r="Y44" s="337" t="s">
        <v>206</v>
      </c>
      <c r="AL44" s="212"/>
      <c r="AM44" s="212"/>
      <c r="AN44" s="212"/>
      <c r="AO44" s="212"/>
      <c r="AP44" s="212"/>
      <c r="AQ44" s="212"/>
      <c r="AR44" s="212"/>
      <c r="AS44" s="212"/>
      <c r="AT44" s="212"/>
      <c r="AU44" s="212"/>
      <c r="AV44" s="334"/>
      <c r="AW44" s="334"/>
      <c r="AX44" s="335"/>
      <c r="AZ44" s="336"/>
      <c r="BA44" s="336"/>
      <c r="BB44" s="336"/>
    </row>
    <row r="45" spans="2:55" s="51" customFormat="1" ht="30" customHeight="1">
      <c r="AJ45" s="212"/>
      <c r="AK45" s="212"/>
      <c r="AL45" s="212"/>
      <c r="AM45" s="212"/>
      <c r="AN45" s="212"/>
      <c r="AO45" s="212"/>
      <c r="AP45" s="212"/>
      <c r="AQ45" s="212"/>
      <c r="AR45" s="212"/>
      <c r="AS45" s="212"/>
      <c r="AT45" s="212"/>
      <c r="AU45" s="212"/>
      <c r="AV45" s="334"/>
      <c r="AW45" s="334"/>
      <c r="AX45" s="335"/>
      <c r="AZ45" s="336"/>
      <c r="BA45" s="336"/>
      <c r="BB45" s="336"/>
    </row>
    <row r="46" spans="2:55" s="51" customFormat="1" ht="30" customHeight="1">
      <c r="AJ46" s="212"/>
      <c r="AK46" s="212"/>
      <c r="AL46" s="212"/>
      <c r="AM46" s="212"/>
      <c r="AN46" s="212"/>
      <c r="AO46" s="212"/>
      <c r="AP46" s="212"/>
      <c r="AQ46" s="212"/>
      <c r="AR46" s="212"/>
      <c r="AS46" s="212"/>
      <c r="AT46" s="212"/>
      <c r="AU46" s="212"/>
      <c r="AV46" s="334"/>
      <c r="AW46" s="334"/>
      <c r="AX46" s="335"/>
      <c r="AZ46" s="336"/>
      <c r="BA46" s="336"/>
      <c r="BB46" s="336"/>
    </row>
    <row r="47" spans="2:55" s="51" customFormat="1" ht="30" customHeight="1">
      <c r="AJ47" s="212"/>
      <c r="AK47" s="212"/>
      <c r="AL47" s="212"/>
      <c r="AM47" s="212"/>
      <c r="AN47" s="212"/>
      <c r="AO47" s="212"/>
      <c r="AP47" s="212"/>
      <c r="AQ47" s="212"/>
      <c r="AR47" s="212"/>
      <c r="AS47" s="212"/>
      <c r="AT47" s="212"/>
      <c r="AU47" s="212"/>
      <c r="AV47" s="334"/>
      <c r="AW47" s="334"/>
      <c r="AX47" s="335"/>
      <c r="AZ47" s="336"/>
      <c r="BA47" s="336"/>
      <c r="BB47" s="336"/>
    </row>
    <row r="48" spans="2:55" s="51" customFormat="1" ht="30" customHeight="1">
      <c r="AJ48" s="212"/>
      <c r="AK48" s="212"/>
      <c r="AL48" s="212"/>
      <c r="AM48" s="212"/>
      <c r="AN48" s="212"/>
      <c r="AO48" s="212"/>
      <c r="AP48" s="212"/>
      <c r="AQ48" s="212"/>
      <c r="AR48" s="212"/>
      <c r="AS48" s="212"/>
      <c r="AT48" s="212"/>
      <c r="AU48" s="212"/>
      <c r="AV48" s="334"/>
      <c r="AW48" s="334"/>
      <c r="AX48" s="335"/>
      <c r="AZ48" s="336"/>
      <c r="BA48" s="336"/>
      <c r="BB48" s="336"/>
    </row>
    <row r="49" spans="36:54" s="51" customFormat="1" ht="30" customHeight="1">
      <c r="AJ49" s="212"/>
      <c r="AK49" s="212"/>
      <c r="AL49" s="212"/>
      <c r="AM49" s="212"/>
      <c r="AN49" s="212"/>
      <c r="AO49" s="212"/>
      <c r="AP49" s="212"/>
      <c r="AQ49" s="212"/>
      <c r="AR49" s="212"/>
      <c r="AS49" s="212"/>
      <c r="AT49" s="212"/>
      <c r="AU49" s="212"/>
      <c r="AV49" s="334"/>
      <c r="AW49" s="334"/>
      <c r="AX49" s="335"/>
      <c r="AZ49" s="336"/>
      <c r="BA49" s="336"/>
      <c r="BB49" s="336"/>
    </row>
    <row r="50" spans="36:54" ht="30" customHeight="1">
      <c r="AJ50" s="129"/>
      <c r="AK50" s="129"/>
      <c r="AL50" s="129"/>
      <c r="AM50" s="129"/>
      <c r="AN50" s="129"/>
      <c r="AO50" s="129"/>
      <c r="AP50" s="129"/>
      <c r="AQ50" s="129"/>
      <c r="AR50" s="129"/>
      <c r="AS50" s="129"/>
      <c r="AT50" s="178"/>
      <c r="AU50" s="129"/>
      <c r="AV50" s="269"/>
      <c r="AW50" s="269"/>
    </row>
    <row r="51" spans="36:54" ht="30" customHeight="1">
      <c r="AJ51" s="129"/>
      <c r="AK51" s="129"/>
      <c r="AL51" s="129"/>
      <c r="AM51" s="129"/>
      <c r="AN51" s="129"/>
      <c r="AO51" s="129"/>
      <c r="AP51" s="129"/>
      <c r="AQ51" s="129"/>
      <c r="AR51" s="129"/>
      <c r="AS51" s="129"/>
      <c r="AT51" s="178"/>
      <c r="AU51" s="129"/>
      <c r="AV51" s="269"/>
      <c r="AW51" s="269"/>
    </row>
    <row r="52" spans="36:54" ht="30" customHeight="1">
      <c r="AJ52" s="129"/>
      <c r="AK52" s="129"/>
      <c r="AU52" s="129"/>
      <c r="AV52" s="269"/>
      <c r="AW52" s="269"/>
    </row>
  </sheetData>
  <mergeCells count="71">
    <mergeCell ref="AA37:AF37"/>
    <mergeCell ref="AG37:AI37"/>
    <mergeCell ref="AA42:AF42"/>
    <mergeCell ref="AG40:AI40"/>
    <mergeCell ref="D41:H41"/>
    <mergeCell ref="I41:N41"/>
    <mergeCell ref="O41:T41"/>
    <mergeCell ref="U41:Z41"/>
    <mergeCell ref="AA41:AF41"/>
    <mergeCell ref="AG41:AI41"/>
    <mergeCell ref="D40:H40"/>
    <mergeCell ref="I40:N40"/>
    <mergeCell ref="O40:T40"/>
    <mergeCell ref="U40:Z40"/>
    <mergeCell ref="AA40:AF40"/>
    <mergeCell ref="E4:G4"/>
    <mergeCell ref="M4:O4"/>
    <mergeCell ref="Q4:S4"/>
    <mergeCell ref="U4:W4"/>
    <mergeCell ref="I5:K5"/>
    <mergeCell ref="M5:O5"/>
    <mergeCell ref="Q5:S5"/>
    <mergeCell ref="U5:W5"/>
    <mergeCell ref="AG33:AI33"/>
    <mergeCell ref="X5:AC5"/>
    <mergeCell ref="AD5:AI5"/>
    <mergeCell ref="E6:AI6"/>
    <mergeCell ref="AS6:AT7"/>
    <mergeCell ref="D32:N32"/>
    <mergeCell ref="O32:Z32"/>
    <mergeCell ref="AA32:AF32"/>
    <mergeCell ref="AG32:AI32"/>
    <mergeCell ref="D33:H33"/>
    <mergeCell ref="I33:N33"/>
    <mergeCell ref="O33:T33"/>
    <mergeCell ref="U33:Z33"/>
    <mergeCell ref="AA33:AF33"/>
    <mergeCell ref="AG35:AI35"/>
    <mergeCell ref="D34:H34"/>
    <mergeCell ref="I34:N34"/>
    <mergeCell ref="O34:T34"/>
    <mergeCell ref="U34:Z34"/>
    <mergeCell ref="AA34:AF34"/>
    <mergeCell ref="AG34:AI34"/>
    <mergeCell ref="D35:H35"/>
    <mergeCell ref="I35:N35"/>
    <mergeCell ref="O35:T35"/>
    <mergeCell ref="U35:Z35"/>
    <mergeCell ref="AA35:AF35"/>
    <mergeCell ref="AG38:AI38"/>
    <mergeCell ref="D36:H36"/>
    <mergeCell ref="I36:N36"/>
    <mergeCell ref="O36:T36"/>
    <mergeCell ref="U36:Z36"/>
    <mergeCell ref="AA36:AF36"/>
    <mergeCell ref="AG36:AI36"/>
    <mergeCell ref="D38:H38"/>
    <mergeCell ref="I38:N38"/>
    <mergeCell ref="O38:T38"/>
    <mergeCell ref="U38:Z38"/>
    <mergeCell ref="AA38:AF38"/>
    <mergeCell ref="D37:H37"/>
    <mergeCell ref="I37:N37"/>
    <mergeCell ref="O37:T37"/>
    <mergeCell ref="U37:Z37"/>
    <mergeCell ref="AG39:AI39"/>
    <mergeCell ref="D39:H39"/>
    <mergeCell ref="I39:N39"/>
    <mergeCell ref="O39:T39"/>
    <mergeCell ref="U39:Z39"/>
    <mergeCell ref="AA39:AF39"/>
  </mergeCells>
  <conditionalFormatting sqref="J9:J11 J13:J21 AH9:AH28 J23:J27">
    <cfRule type="expression" priority="1453" stopIfTrue="1">
      <formula>J9=""</formula>
    </cfRule>
    <cfRule type="expression" dxfId="869" priority="1454" stopIfTrue="1">
      <formula>J9=KeyCustom2</formula>
    </cfRule>
    <cfRule type="expression" dxfId="868" priority="1455" stopIfTrue="1">
      <formula>J9=KeyCustom1</formula>
    </cfRule>
    <cfRule type="expression" dxfId="867" priority="1456" stopIfTrue="1">
      <formula>J9=KeySick</formula>
    </cfRule>
    <cfRule type="expression" dxfId="866" priority="1457" stopIfTrue="1">
      <formula>J9=KeyPersonal</formula>
    </cfRule>
    <cfRule type="expression" dxfId="865" priority="1458" stopIfTrue="1">
      <formula>J9=KeyVacation</formula>
    </cfRule>
  </conditionalFormatting>
  <conditionalFormatting sqref="D9:D11 D13:D21 D23:D27">
    <cfRule type="expression" priority="1447" stopIfTrue="1">
      <formula>D9=""</formula>
    </cfRule>
    <cfRule type="expression" dxfId="864" priority="1448" stopIfTrue="1">
      <formula>D9=KeyCustom2</formula>
    </cfRule>
    <cfRule type="expression" dxfId="863" priority="1449" stopIfTrue="1">
      <formula>D9=KeyCustom1</formula>
    </cfRule>
    <cfRule type="expression" dxfId="862" priority="1450" stopIfTrue="1">
      <formula>D9=KeySick</formula>
    </cfRule>
    <cfRule type="expression" dxfId="861" priority="1451" stopIfTrue="1">
      <formula>D9=KeyPersonal</formula>
    </cfRule>
    <cfRule type="expression" dxfId="860" priority="1452" stopIfTrue="1">
      <formula>D9=KeyVacation</formula>
    </cfRule>
  </conditionalFormatting>
  <conditionalFormatting sqref="F9:F11 F13:F21 F23:F27">
    <cfRule type="expression" priority="1441" stopIfTrue="1">
      <formula>F9=""</formula>
    </cfRule>
    <cfRule type="expression" dxfId="859" priority="1442" stopIfTrue="1">
      <formula>F9=KeyCustom2</formula>
    </cfRule>
    <cfRule type="expression" dxfId="858" priority="1443" stopIfTrue="1">
      <formula>F9=KeyCustom1</formula>
    </cfRule>
    <cfRule type="expression" dxfId="857" priority="1444" stopIfTrue="1">
      <formula>F9=KeySick</formula>
    </cfRule>
    <cfRule type="expression" dxfId="856" priority="1445" stopIfTrue="1">
      <formula>F9=KeyPersonal</formula>
    </cfRule>
    <cfRule type="expression" dxfId="855" priority="1446" stopIfTrue="1">
      <formula>F9=KeyVacation</formula>
    </cfRule>
  </conditionalFormatting>
  <conditionalFormatting sqref="E9:E11 E13:E15 E18:E21 E23:E27">
    <cfRule type="expression" priority="1435" stopIfTrue="1">
      <formula>E9=""</formula>
    </cfRule>
    <cfRule type="expression" dxfId="854" priority="1436" stopIfTrue="1">
      <formula>E9=KeyCustom2</formula>
    </cfRule>
    <cfRule type="expression" dxfId="853" priority="1437" stopIfTrue="1">
      <formula>E9=KeyCustom1</formula>
    </cfRule>
    <cfRule type="expression" dxfId="852" priority="1438" stopIfTrue="1">
      <formula>E9=KeySick</formula>
    </cfRule>
    <cfRule type="expression" dxfId="851" priority="1439" stopIfTrue="1">
      <formula>E9=KeyPersonal</formula>
    </cfRule>
    <cfRule type="expression" dxfId="850" priority="1440" stopIfTrue="1">
      <formula>E9=KeyVacation</formula>
    </cfRule>
  </conditionalFormatting>
  <conditionalFormatting sqref="S9:S15 S21 S23:S27">
    <cfRule type="expression" priority="1321" stopIfTrue="1">
      <formula>S9=""</formula>
    </cfRule>
    <cfRule type="expression" dxfId="849" priority="1322" stopIfTrue="1">
      <formula>S9=KeyCustom2</formula>
    </cfRule>
    <cfRule type="expression" dxfId="848" priority="1323" stopIfTrue="1">
      <formula>S9=KeyCustom1</formula>
    </cfRule>
    <cfRule type="expression" dxfId="847" priority="1324" stopIfTrue="1">
      <formula>S9=KeySick</formula>
    </cfRule>
    <cfRule type="expression" dxfId="846" priority="1325" stopIfTrue="1">
      <formula>S9=KeyPersonal</formula>
    </cfRule>
    <cfRule type="expression" dxfId="845" priority="1326" stopIfTrue="1">
      <formula>S9=KeyVacation</formula>
    </cfRule>
  </conditionalFormatting>
  <conditionalFormatting sqref="T9:T21 T23:T27">
    <cfRule type="expression" priority="1315" stopIfTrue="1">
      <formula>T9=""</formula>
    </cfRule>
    <cfRule type="expression" dxfId="844" priority="1316" stopIfTrue="1">
      <formula>T9=KeyCustom2</formula>
    </cfRule>
    <cfRule type="expression" dxfId="843" priority="1317" stopIfTrue="1">
      <formula>T9=KeyCustom1</formula>
    </cfRule>
    <cfRule type="expression" dxfId="842" priority="1318" stopIfTrue="1">
      <formula>T9=KeySick</formula>
    </cfRule>
    <cfRule type="expression" dxfId="841" priority="1319" stopIfTrue="1">
      <formula>T9=KeyPersonal</formula>
    </cfRule>
    <cfRule type="expression" dxfId="840" priority="1320" stopIfTrue="1">
      <formula>T9=KeyVacation</formula>
    </cfRule>
  </conditionalFormatting>
  <conditionalFormatting sqref="L9:L11 L13:L15 L18 L21 L23:L27">
    <cfRule type="expression" priority="1405" stopIfTrue="1">
      <formula>L9=""</formula>
    </cfRule>
    <cfRule type="expression" dxfId="839" priority="1406" stopIfTrue="1">
      <formula>L9=KeyCustom2</formula>
    </cfRule>
    <cfRule type="expression" dxfId="838" priority="1407" stopIfTrue="1">
      <formula>L9=KeyCustom1</formula>
    </cfRule>
    <cfRule type="expression" dxfId="837" priority="1408" stopIfTrue="1">
      <formula>L9=KeySick</formula>
    </cfRule>
    <cfRule type="expression" dxfId="836" priority="1409" stopIfTrue="1">
      <formula>L9=KeyPersonal</formula>
    </cfRule>
    <cfRule type="expression" dxfId="835" priority="1410" stopIfTrue="1">
      <formula>L9=KeyVacation</formula>
    </cfRule>
  </conditionalFormatting>
  <conditionalFormatting sqref="M9:M11 M13:M21 M23:M27">
    <cfRule type="expression" priority="1399" stopIfTrue="1">
      <formula>M9=""</formula>
    </cfRule>
    <cfRule type="expression" dxfId="834" priority="1400" stopIfTrue="1">
      <formula>M9=KeyCustom2</formula>
    </cfRule>
    <cfRule type="expression" dxfId="833" priority="1401" stopIfTrue="1">
      <formula>M9=KeyCustom1</formula>
    </cfRule>
    <cfRule type="expression" dxfId="832" priority="1402" stopIfTrue="1">
      <formula>M9=KeySick</formula>
    </cfRule>
    <cfRule type="expression" dxfId="831" priority="1403" stopIfTrue="1">
      <formula>M9=KeyPersonal</formula>
    </cfRule>
    <cfRule type="expression" dxfId="830" priority="1404" stopIfTrue="1">
      <formula>M9=KeyVacation</formula>
    </cfRule>
  </conditionalFormatting>
  <conditionalFormatting sqref="Z9:Z15 Z21 Z23:Z27">
    <cfRule type="expression" priority="1285" stopIfTrue="1">
      <formula>Z9=""</formula>
    </cfRule>
    <cfRule type="expression" dxfId="829" priority="1286" stopIfTrue="1">
      <formula>Z9=KeyCustom2</formula>
    </cfRule>
    <cfRule type="expression" dxfId="828" priority="1287" stopIfTrue="1">
      <formula>Z9=KeyCustom1</formula>
    </cfRule>
    <cfRule type="expression" dxfId="827" priority="1288" stopIfTrue="1">
      <formula>Z9=KeySick</formula>
    </cfRule>
    <cfRule type="expression" dxfId="826" priority="1289" stopIfTrue="1">
      <formula>Z9=KeyPersonal</formula>
    </cfRule>
    <cfRule type="expression" dxfId="825" priority="1290" stopIfTrue="1">
      <formula>Z9=KeyVacation</formula>
    </cfRule>
  </conditionalFormatting>
  <conditionalFormatting sqref="L28">
    <cfRule type="expression" priority="1135" stopIfTrue="1">
      <formula>L28=""</formula>
    </cfRule>
    <cfRule type="expression" dxfId="824" priority="1136" stopIfTrue="1">
      <formula>L28=KeyCustom2</formula>
    </cfRule>
    <cfRule type="expression" dxfId="823" priority="1137" stopIfTrue="1">
      <formula>L28=KeyCustom1</formula>
    </cfRule>
    <cfRule type="expression" dxfId="822" priority="1138" stopIfTrue="1">
      <formula>L28=KeySick</formula>
    </cfRule>
    <cfRule type="expression" dxfId="821" priority="1139" stopIfTrue="1">
      <formula>L28=KeyPersonal</formula>
    </cfRule>
    <cfRule type="expression" dxfId="820" priority="1140" stopIfTrue="1">
      <formula>L28=KeyVacation</formula>
    </cfRule>
  </conditionalFormatting>
  <conditionalFormatting sqref="AA9:AA15 AA21 AA23:AA27">
    <cfRule type="expression" priority="1279" stopIfTrue="1">
      <formula>AA9=""</formula>
    </cfRule>
    <cfRule type="expression" dxfId="819" priority="1280" stopIfTrue="1">
      <formula>AA9=KeyCustom2</formula>
    </cfRule>
    <cfRule type="expression" dxfId="818" priority="1281" stopIfTrue="1">
      <formula>AA9=KeyCustom1</formula>
    </cfRule>
    <cfRule type="expression" dxfId="817" priority="1282" stopIfTrue="1">
      <formula>AA9=KeySick</formula>
    </cfRule>
    <cfRule type="expression" dxfId="816" priority="1283" stopIfTrue="1">
      <formula>AA9=KeyPersonal</formula>
    </cfRule>
    <cfRule type="expression" dxfId="815" priority="1284" stopIfTrue="1">
      <formula>AA9=KeyVacation</formula>
    </cfRule>
  </conditionalFormatting>
  <conditionalFormatting sqref="AA28">
    <cfRule type="expression" priority="1057" stopIfTrue="1">
      <formula>AA28=""</formula>
    </cfRule>
    <cfRule type="expression" dxfId="809" priority="1058" stopIfTrue="1">
      <formula>AA28=KeyCustom2</formula>
    </cfRule>
    <cfRule type="expression" dxfId="808" priority="1059" stopIfTrue="1">
      <formula>AA28=KeyCustom1</formula>
    </cfRule>
    <cfRule type="expression" dxfId="807" priority="1060" stopIfTrue="1">
      <formula>AA28=KeySick</formula>
    </cfRule>
    <cfRule type="expression" dxfId="806" priority="1061" stopIfTrue="1">
      <formula>AA28=KeyPersonal</formula>
    </cfRule>
    <cfRule type="expression" dxfId="805" priority="1062" stopIfTrue="1">
      <formula>AA28=KeyVacation</formula>
    </cfRule>
  </conditionalFormatting>
  <conditionalFormatting sqref="T28">
    <cfRule type="expression" priority="1093" stopIfTrue="1">
      <formula>T28=""</formula>
    </cfRule>
    <cfRule type="expression" dxfId="794" priority="1094" stopIfTrue="1">
      <formula>T28=KeyCustom2</formula>
    </cfRule>
    <cfRule type="expression" dxfId="793" priority="1095" stopIfTrue="1">
      <formula>T28=KeyCustom1</formula>
    </cfRule>
    <cfRule type="expression" dxfId="792" priority="1096" stopIfTrue="1">
      <formula>T28=KeySick</formula>
    </cfRule>
    <cfRule type="expression" dxfId="791" priority="1097" stopIfTrue="1">
      <formula>T28=KeyPersonal</formula>
    </cfRule>
    <cfRule type="expression" dxfId="790" priority="1098" stopIfTrue="1">
      <formula>T28=KeyVacation</formula>
    </cfRule>
  </conditionalFormatting>
  <conditionalFormatting sqref="J28">
    <cfRule type="expression" priority="1177" stopIfTrue="1">
      <formula>J28=""</formula>
    </cfRule>
    <cfRule type="expression" dxfId="789" priority="1178" stopIfTrue="1">
      <formula>J28=KeyCustom2</formula>
    </cfRule>
    <cfRule type="expression" dxfId="788" priority="1179" stopIfTrue="1">
      <formula>J28=KeyCustom1</formula>
    </cfRule>
    <cfRule type="expression" dxfId="787" priority="1180" stopIfTrue="1">
      <formula>J28=KeySick</formula>
    </cfRule>
    <cfRule type="expression" dxfId="786" priority="1181" stopIfTrue="1">
      <formula>J28=KeyPersonal</formula>
    </cfRule>
    <cfRule type="expression" dxfId="785" priority="1182" stopIfTrue="1">
      <formula>J28=KeyVacation</formula>
    </cfRule>
  </conditionalFormatting>
  <conditionalFormatting sqref="F28">
    <cfRule type="expression" priority="1165" stopIfTrue="1">
      <formula>F28=""</formula>
    </cfRule>
    <cfRule type="expression" dxfId="779" priority="1166" stopIfTrue="1">
      <formula>F28=KeyCustom2</formula>
    </cfRule>
    <cfRule type="expression" dxfId="778" priority="1167" stopIfTrue="1">
      <formula>F28=KeyCustom1</formula>
    </cfRule>
    <cfRule type="expression" dxfId="777" priority="1168" stopIfTrue="1">
      <formula>F28=KeySick</formula>
    </cfRule>
    <cfRule type="expression" dxfId="776" priority="1169" stopIfTrue="1">
      <formula>F28=KeyPersonal</formula>
    </cfRule>
    <cfRule type="expression" dxfId="775" priority="1170" stopIfTrue="1">
      <formula>F28=KeyVacation</formula>
    </cfRule>
  </conditionalFormatting>
  <conditionalFormatting sqref="E28">
    <cfRule type="expression" priority="1159" stopIfTrue="1">
      <formula>E28=""</formula>
    </cfRule>
    <cfRule type="expression" dxfId="774" priority="1160" stopIfTrue="1">
      <formula>E28=KeyCustom2</formula>
    </cfRule>
    <cfRule type="expression" dxfId="773" priority="1161" stopIfTrue="1">
      <formula>E28=KeyCustom1</formula>
    </cfRule>
    <cfRule type="expression" dxfId="772" priority="1162" stopIfTrue="1">
      <formula>E28=KeySick</formula>
    </cfRule>
    <cfRule type="expression" dxfId="771" priority="1163" stopIfTrue="1">
      <formula>E28=KeyPersonal</formula>
    </cfRule>
    <cfRule type="expression" dxfId="770" priority="1164" stopIfTrue="1">
      <formula>E28=KeyVacation</formula>
    </cfRule>
  </conditionalFormatting>
  <conditionalFormatting sqref="Q9:Q11 Q13:Q15 Q17:Q18 Q21 Q23:Q27">
    <cfRule type="expression" priority="913" stopIfTrue="1">
      <formula>Q9=""</formula>
    </cfRule>
    <cfRule type="expression" dxfId="769" priority="914" stopIfTrue="1">
      <formula>Q9=KeyCustom2</formula>
    </cfRule>
    <cfRule type="expression" dxfId="768" priority="915" stopIfTrue="1">
      <formula>Q9=KeyCustom1</formula>
    </cfRule>
    <cfRule type="expression" dxfId="767" priority="916" stopIfTrue="1">
      <formula>Q9=KeySick</formula>
    </cfRule>
    <cfRule type="expression" dxfId="766" priority="917" stopIfTrue="1">
      <formula>Q9=KeyPersonal</formula>
    </cfRule>
    <cfRule type="expression" dxfId="765" priority="918" stopIfTrue="1">
      <formula>Q9=KeyVacation</formula>
    </cfRule>
  </conditionalFormatting>
  <conditionalFormatting sqref="M28">
    <cfRule type="expression" priority="1129" stopIfTrue="1">
      <formula>M28=""</formula>
    </cfRule>
    <cfRule type="expression" dxfId="759" priority="1130" stopIfTrue="1">
      <formula>M28=KeyCustom2</formula>
    </cfRule>
    <cfRule type="expression" dxfId="758" priority="1131" stopIfTrue="1">
      <formula>M28=KeyCustom1</formula>
    </cfRule>
    <cfRule type="expression" dxfId="757" priority="1132" stopIfTrue="1">
      <formula>M28=KeySick</formula>
    </cfRule>
    <cfRule type="expression" dxfId="756" priority="1133" stopIfTrue="1">
      <formula>M28=KeyPersonal</formula>
    </cfRule>
    <cfRule type="expression" dxfId="755" priority="1134" stopIfTrue="1">
      <formula>M28=KeyVacation</formula>
    </cfRule>
  </conditionalFormatting>
  <conditionalFormatting sqref="S28">
    <cfRule type="expression" priority="1099" stopIfTrue="1">
      <formula>S28=""</formula>
    </cfRule>
    <cfRule type="expression" dxfId="749" priority="1100" stopIfTrue="1">
      <formula>S28=KeyCustom2</formula>
    </cfRule>
    <cfRule type="expression" dxfId="748" priority="1101" stopIfTrue="1">
      <formula>S28=KeyCustom1</formula>
    </cfRule>
    <cfRule type="expression" dxfId="747" priority="1102" stopIfTrue="1">
      <formula>S28=KeySick</formula>
    </cfRule>
    <cfRule type="expression" dxfId="746" priority="1103" stopIfTrue="1">
      <formula>S28=KeyPersonal</formula>
    </cfRule>
    <cfRule type="expression" dxfId="745" priority="1104" stopIfTrue="1">
      <formula>S28=KeyVacation</formula>
    </cfRule>
  </conditionalFormatting>
  <conditionalFormatting sqref="Z28">
    <cfRule type="expression" priority="1063" stopIfTrue="1">
      <formula>Z28=""</formula>
    </cfRule>
    <cfRule type="expression" dxfId="744" priority="1064" stopIfTrue="1">
      <formula>Z28=KeyCustom2</formula>
    </cfRule>
    <cfRule type="expression" dxfId="743" priority="1065" stopIfTrue="1">
      <formula>Z28=KeyCustom1</formula>
    </cfRule>
    <cfRule type="expression" dxfId="742" priority="1066" stopIfTrue="1">
      <formula>Z28=KeySick</formula>
    </cfRule>
    <cfRule type="expression" dxfId="741" priority="1067" stopIfTrue="1">
      <formula>Z28=KeyPersonal</formula>
    </cfRule>
    <cfRule type="expression" dxfId="740" priority="1068" stopIfTrue="1">
      <formula>Z28=KeyVacation</formula>
    </cfRule>
  </conditionalFormatting>
  <conditionalFormatting sqref="D12">
    <cfRule type="expression" priority="883" stopIfTrue="1">
      <formula>D12=""</formula>
    </cfRule>
    <cfRule type="expression" dxfId="739" priority="884" stopIfTrue="1">
      <formula>D12=KeyCustom2</formula>
    </cfRule>
    <cfRule type="expression" dxfId="738" priority="885" stopIfTrue="1">
      <formula>D12=KeyCustom1</formula>
    </cfRule>
    <cfRule type="expression" dxfId="737" priority="886" stopIfTrue="1">
      <formula>D12=KeySick</formula>
    </cfRule>
    <cfRule type="expression" dxfId="736" priority="887" stopIfTrue="1">
      <formula>D12=KeyPersonal</formula>
    </cfRule>
    <cfRule type="expression" dxfId="735" priority="888" stopIfTrue="1">
      <formula>D12=KeyVacation</formula>
    </cfRule>
  </conditionalFormatting>
  <conditionalFormatting sqref="N28">
    <cfRule type="expression" priority="943" stopIfTrue="1">
      <formula>N28=""</formula>
    </cfRule>
    <cfRule type="expression" dxfId="734" priority="944" stopIfTrue="1">
      <formula>N28=KeyCustom2</formula>
    </cfRule>
    <cfRule type="expression" dxfId="733" priority="945" stopIfTrue="1">
      <formula>N28=KeyCustom1</formula>
    </cfRule>
    <cfRule type="expression" dxfId="732" priority="946" stopIfTrue="1">
      <formula>N28=KeySick</formula>
    </cfRule>
    <cfRule type="expression" dxfId="731" priority="947" stopIfTrue="1">
      <formula>N28=KeyPersonal</formula>
    </cfRule>
    <cfRule type="expression" dxfId="730" priority="948" stopIfTrue="1">
      <formula>N28=KeyVacation</formula>
    </cfRule>
  </conditionalFormatting>
  <conditionalFormatting sqref="I9:I11 I13:I21 I23:I27">
    <cfRule type="expression" priority="973" stopIfTrue="1">
      <formula>I9=""</formula>
    </cfRule>
    <cfRule type="expression" dxfId="729" priority="974" stopIfTrue="1">
      <formula>I9=KeyCustom2</formula>
    </cfRule>
    <cfRule type="expression" dxfId="728" priority="975" stopIfTrue="1">
      <formula>I9=KeyCustom1</formula>
    </cfRule>
    <cfRule type="expression" dxfId="727" priority="976" stopIfTrue="1">
      <formula>I9=KeySick</formula>
    </cfRule>
    <cfRule type="expression" dxfId="726" priority="977" stopIfTrue="1">
      <formula>I9=KeyPersonal</formula>
    </cfRule>
    <cfRule type="expression" dxfId="725" priority="978" stopIfTrue="1">
      <formula>I9=KeyVacation</formula>
    </cfRule>
  </conditionalFormatting>
  <conditionalFormatting sqref="I28">
    <cfRule type="expression" priority="967" stopIfTrue="1">
      <formula>I28=""</formula>
    </cfRule>
    <cfRule type="expression" dxfId="724" priority="968" stopIfTrue="1">
      <formula>I28=KeyCustom2</formula>
    </cfRule>
    <cfRule type="expression" dxfId="723" priority="969" stopIfTrue="1">
      <formula>I28=KeyCustom1</formula>
    </cfRule>
    <cfRule type="expression" dxfId="722" priority="970" stopIfTrue="1">
      <formula>I28=KeySick</formula>
    </cfRule>
    <cfRule type="expression" dxfId="721" priority="971" stopIfTrue="1">
      <formula>I28=KeyPersonal</formula>
    </cfRule>
    <cfRule type="expression" dxfId="720" priority="972" stopIfTrue="1">
      <formula>I28=KeyVacation</formula>
    </cfRule>
  </conditionalFormatting>
  <conditionalFormatting sqref="AG9:AG15 AG20:AG27">
    <cfRule type="expression" priority="1021" stopIfTrue="1">
      <formula>AG9=""</formula>
    </cfRule>
    <cfRule type="expression" dxfId="719" priority="1022" stopIfTrue="1">
      <formula>AG9=KeyCustom2</formula>
    </cfRule>
    <cfRule type="expression" dxfId="718" priority="1023" stopIfTrue="1">
      <formula>AG9=KeyCustom1</formula>
    </cfRule>
    <cfRule type="expression" dxfId="717" priority="1024" stopIfTrue="1">
      <formula>AG9=KeySick</formula>
    </cfRule>
    <cfRule type="expression" dxfId="716" priority="1025" stopIfTrue="1">
      <formula>AG9=KeyPersonal</formula>
    </cfRule>
    <cfRule type="expression" dxfId="715" priority="1026" stopIfTrue="1">
      <formula>AG9=KeyVacation</formula>
    </cfRule>
  </conditionalFormatting>
  <conditionalFormatting sqref="AG28">
    <cfRule type="expression" priority="1015" stopIfTrue="1">
      <formula>AG28=""</formula>
    </cfRule>
    <cfRule type="expression" dxfId="714" priority="1016" stopIfTrue="1">
      <formula>AG28=KeyCustom2</formula>
    </cfRule>
    <cfRule type="expression" dxfId="713" priority="1017" stopIfTrue="1">
      <formula>AG28=KeyCustom1</formula>
    </cfRule>
    <cfRule type="expression" dxfId="712" priority="1018" stopIfTrue="1">
      <formula>AG28=KeySick</formula>
    </cfRule>
    <cfRule type="expression" dxfId="711" priority="1019" stopIfTrue="1">
      <formula>AG28=KeyPersonal</formula>
    </cfRule>
    <cfRule type="expression" dxfId="710" priority="1020" stopIfTrue="1">
      <formula>AG28=KeyVacation</formula>
    </cfRule>
  </conditionalFormatting>
  <conditionalFormatting sqref="P9:P11 P13:P15 P21 P17:P18 P23:P27">
    <cfRule type="expression" priority="925" stopIfTrue="1">
      <formula>P9=""</formula>
    </cfRule>
    <cfRule type="expression" dxfId="709" priority="926" stopIfTrue="1">
      <formula>P9=KeyCustom2</formula>
    </cfRule>
    <cfRule type="expression" dxfId="708" priority="927" stopIfTrue="1">
      <formula>P9=KeyCustom1</formula>
    </cfRule>
    <cfRule type="expression" dxfId="707" priority="928" stopIfTrue="1">
      <formula>P9=KeySick</formula>
    </cfRule>
    <cfRule type="expression" dxfId="706" priority="929" stopIfTrue="1">
      <formula>P9=KeyPersonal</formula>
    </cfRule>
    <cfRule type="expression" dxfId="705" priority="930" stopIfTrue="1">
      <formula>P9=KeyVacation</formula>
    </cfRule>
  </conditionalFormatting>
  <conditionalFormatting sqref="D28">
    <cfRule type="expression" priority="1003" stopIfTrue="1">
      <formula>D28=""</formula>
    </cfRule>
    <cfRule type="expression" dxfId="704" priority="1004" stopIfTrue="1">
      <formula>D28=KeyCustom2</formula>
    </cfRule>
    <cfRule type="expression" dxfId="703" priority="1005" stopIfTrue="1">
      <formula>D28=KeyCustom1</formula>
    </cfRule>
    <cfRule type="expression" dxfId="702" priority="1006" stopIfTrue="1">
      <formula>D28=KeySick</formula>
    </cfRule>
    <cfRule type="expression" dxfId="701" priority="1007" stopIfTrue="1">
      <formula>D28=KeyPersonal</formula>
    </cfRule>
    <cfRule type="expression" dxfId="700" priority="1008" stopIfTrue="1">
      <formula>D28=KeyVacation</formula>
    </cfRule>
  </conditionalFormatting>
  <conditionalFormatting sqref="G9:G11 G13:G21 G23:G27">
    <cfRule type="expression" priority="997" stopIfTrue="1">
      <formula>G9=""</formula>
    </cfRule>
    <cfRule type="expression" dxfId="699" priority="998" stopIfTrue="1">
      <formula>G9=KeyCustom2</formula>
    </cfRule>
    <cfRule type="expression" dxfId="698" priority="999" stopIfTrue="1">
      <formula>G9=KeyCustom1</formula>
    </cfRule>
    <cfRule type="expression" dxfId="697" priority="1000" stopIfTrue="1">
      <formula>G9=KeySick</formula>
    </cfRule>
    <cfRule type="expression" dxfId="696" priority="1001" stopIfTrue="1">
      <formula>G9=KeyPersonal</formula>
    </cfRule>
    <cfRule type="expression" dxfId="695" priority="1002" stopIfTrue="1">
      <formula>G9=KeyVacation</formula>
    </cfRule>
  </conditionalFormatting>
  <conditionalFormatting sqref="G28">
    <cfRule type="expression" priority="991" stopIfTrue="1">
      <formula>G28=""</formula>
    </cfRule>
    <cfRule type="expression" dxfId="694" priority="992" stopIfTrue="1">
      <formula>G28=KeyCustom2</formula>
    </cfRule>
    <cfRule type="expression" dxfId="693" priority="993" stopIfTrue="1">
      <formula>G28=KeyCustom1</formula>
    </cfRule>
    <cfRule type="expression" dxfId="692" priority="994" stopIfTrue="1">
      <formula>G28=KeySick</formula>
    </cfRule>
    <cfRule type="expression" dxfId="691" priority="995" stopIfTrue="1">
      <formula>G28=KeyPersonal</formula>
    </cfRule>
    <cfRule type="expression" dxfId="690" priority="996" stopIfTrue="1">
      <formula>G28=KeyVacation</formula>
    </cfRule>
  </conditionalFormatting>
  <conditionalFormatting sqref="H9:H11 H13:H21 H23:H27">
    <cfRule type="expression" priority="985" stopIfTrue="1">
      <formula>H9=""</formula>
    </cfRule>
    <cfRule type="expression" dxfId="689" priority="986" stopIfTrue="1">
      <formula>H9=KeyCustom2</formula>
    </cfRule>
    <cfRule type="expression" dxfId="688" priority="987" stopIfTrue="1">
      <formula>H9=KeyCustom1</formula>
    </cfRule>
    <cfRule type="expression" dxfId="687" priority="988" stopIfTrue="1">
      <formula>H9=KeySick</formula>
    </cfRule>
    <cfRule type="expression" dxfId="686" priority="989" stopIfTrue="1">
      <formula>H9=KeyPersonal</formula>
    </cfRule>
    <cfRule type="expression" dxfId="685" priority="990" stopIfTrue="1">
      <formula>H9=KeyVacation</formula>
    </cfRule>
  </conditionalFormatting>
  <conditionalFormatting sqref="H28">
    <cfRule type="expression" priority="979" stopIfTrue="1">
      <formula>H28=""</formula>
    </cfRule>
    <cfRule type="expression" dxfId="684" priority="980" stopIfTrue="1">
      <formula>H28=KeyCustom2</formula>
    </cfRule>
    <cfRule type="expression" dxfId="683" priority="981" stopIfTrue="1">
      <formula>H28=KeyCustom1</formula>
    </cfRule>
    <cfRule type="expression" dxfId="682" priority="982" stopIfTrue="1">
      <formula>H28=KeySick</formula>
    </cfRule>
    <cfRule type="expression" dxfId="681" priority="983" stopIfTrue="1">
      <formula>H28=KeyPersonal</formula>
    </cfRule>
    <cfRule type="expression" dxfId="680" priority="984" stopIfTrue="1">
      <formula>H28=KeyVacation</formula>
    </cfRule>
  </conditionalFormatting>
  <conditionalFormatting sqref="K13:K18 K21 K9:K11 K23:K27">
    <cfRule type="expression" priority="961" stopIfTrue="1">
      <formula>K9=""</formula>
    </cfRule>
    <cfRule type="expression" dxfId="669" priority="962" stopIfTrue="1">
      <formula>K9=KeyCustom2</formula>
    </cfRule>
    <cfRule type="expression" dxfId="668" priority="963" stopIfTrue="1">
      <formula>K9=KeyCustom1</formula>
    </cfRule>
    <cfRule type="expression" dxfId="667" priority="964" stopIfTrue="1">
      <formula>K9=KeySick</formula>
    </cfRule>
    <cfRule type="expression" dxfId="666" priority="965" stopIfTrue="1">
      <formula>K9=KeyPersonal</formula>
    </cfRule>
    <cfRule type="expression" dxfId="665" priority="966" stopIfTrue="1">
      <formula>K9=KeyVacation</formula>
    </cfRule>
  </conditionalFormatting>
  <conditionalFormatting sqref="K28">
    <cfRule type="expression" priority="955" stopIfTrue="1">
      <formula>K28=""</formula>
    </cfRule>
    <cfRule type="expression" dxfId="664" priority="956" stopIfTrue="1">
      <formula>K28=KeyCustom2</formula>
    </cfRule>
    <cfRule type="expression" dxfId="663" priority="957" stopIfTrue="1">
      <formula>K28=KeyCustom1</formula>
    </cfRule>
    <cfRule type="expression" dxfId="662" priority="958" stopIfTrue="1">
      <formula>K28=KeySick</formula>
    </cfRule>
    <cfRule type="expression" dxfId="661" priority="959" stopIfTrue="1">
      <formula>K28=KeyPersonal</formula>
    </cfRule>
    <cfRule type="expression" dxfId="660" priority="960" stopIfTrue="1">
      <formula>K28=KeyVacation</formula>
    </cfRule>
  </conditionalFormatting>
  <conditionalFormatting sqref="N9:N11 N13:N18 N21 N23:N27">
    <cfRule type="expression" priority="949" stopIfTrue="1">
      <formula>N9=""</formula>
    </cfRule>
    <cfRule type="expression" dxfId="659" priority="950" stopIfTrue="1">
      <formula>N9=KeyCustom2</formula>
    </cfRule>
    <cfRule type="expression" dxfId="658" priority="951" stopIfTrue="1">
      <formula>N9=KeyCustom1</formula>
    </cfRule>
    <cfRule type="expression" dxfId="657" priority="952" stopIfTrue="1">
      <formula>N9=KeySick</formula>
    </cfRule>
    <cfRule type="expression" dxfId="656" priority="953" stopIfTrue="1">
      <formula>N9=KeyPersonal</formula>
    </cfRule>
    <cfRule type="expression" dxfId="655" priority="954" stopIfTrue="1">
      <formula>N9=KeyVacation</formula>
    </cfRule>
  </conditionalFormatting>
  <conditionalFormatting sqref="O9:O11 O13:O18 O21 O23:O27">
    <cfRule type="expression" priority="937" stopIfTrue="1">
      <formula>O9=""</formula>
    </cfRule>
    <cfRule type="expression" dxfId="649" priority="938" stopIfTrue="1">
      <formula>O9=KeyCustom2</formula>
    </cfRule>
    <cfRule type="expression" dxfId="648" priority="939" stopIfTrue="1">
      <formula>O9=KeyCustom1</formula>
    </cfRule>
    <cfRule type="expression" dxfId="647" priority="940" stopIfTrue="1">
      <formula>O9=KeySick</formula>
    </cfRule>
    <cfRule type="expression" dxfId="646" priority="941" stopIfTrue="1">
      <formula>O9=KeyPersonal</formula>
    </cfRule>
    <cfRule type="expression" dxfId="645" priority="942" stopIfTrue="1">
      <formula>O9=KeyVacation</formula>
    </cfRule>
  </conditionalFormatting>
  <conditionalFormatting sqref="O28">
    <cfRule type="expression" priority="931" stopIfTrue="1">
      <formula>O28=""</formula>
    </cfRule>
    <cfRule type="expression" dxfId="644" priority="932" stopIfTrue="1">
      <formula>O28=KeyCustom2</formula>
    </cfRule>
    <cfRule type="expression" dxfId="643" priority="933" stopIfTrue="1">
      <formula>O28=KeyCustom1</formula>
    </cfRule>
    <cfRule type="expression" dxfId="642" priority="934" stopIfTrue="1">
      <formula>O28=KeySick</formula>
    </cfRule>
    <cfRule type="expression" dxfId="641" priority="935" stopIfTrue="1">
      <formula>O28=KeyPersonal</formula>
    </cfRule>
    <cfRule type="expression" dxfId="640" priority="936" stopIfTrue="1">
      <formula>O28=KeyVacation</formula>
    </cfRule>
  </conditionalFormatting>
  <conditionalFormatting sqref="P28">
    <cfRule type="expression" priority="919" stopIfTrue="1">
      <formula>P28=""</formula>
    </cfRule>
    <cfRule type="expression" dxfId="639" priority="920" stopIfTrue="1">
      <formula>P28=KeyCustom2</formula>
    </cfRule>
    <cfRule type="expression" dxfId="638" priority="921" stopIfTrue="1">
      <formula>P28=KeyCustom1</formula>
    </cfRule>
    <cfRule type="expression" dxfId="637" priority="922" stopIfTrue="1">
      <formula>P28=KeySick</formula>
    </cfRule>
    <cfRule type="expression" dxfId="636" priority="923" stopIfTrue="1">
      <formula>P28=KeyPersonal</formula>
    </cfRule>
    <cfRule type="expression" dxfId="635" priority="924" stopIfTrue="1">
      <formula>P28=KeyVacation</formula>
    </cfRule>
  </conditionalFormatting>
  <conditionalFormatting sqref="Q28">
    <cfRule type="expression" priority="907" stopIfTrue="1">
      <formula>Q28=""</formula>
    </cfRule>
    <cfRule type="expression" dxfId="629" priority="908" stopIfTrue="1">
      <formula>Q28=KeyCustom2</formula>
    </cfRule>
    <cfRule type="expression" dxfId="628" priority="909" stopIfTrue="1">
      <formula>Q28=KeyCustom1</formula>
    </cfRule>
    <cfRule type="expression" dxfId="627" priority="910" stopIfTrue="1">
      <formula>Q28=KeySick</formula>
    </cfRule>
    <cfRule type="expression" dxfId="626" priority="911" stopIfTrue="1">
      <formula>Q28=KeyPersonal</formula>
    </cfRule>
    <cfRule type="expression" dxfId="625" priority="912" stopIfTrue="1">
      <formula>Q28=KeyVacation</formula>
    </cfRule>
  </conditionalFormatting>
  <conditionalFormatting sqref="R9:R11 R13:R18 R21 R23:R27">
    <cfRule type="expression" priority="901" stopIfTrue="1">
      <formula>R9=""</formula>
    </cfRule>
    <cfRule type="expression" dxfId="624" priority="902" stopIfTrue="1">
      <formula>R9=KeyCustom2</formula>
    </cfRule>
    <cfRule type="expression" dxfId="623" priority="903" stopIfTrue="1">
      <formula>R9=KeyCustom1</formula>
    </cfRule>
    <cfRule type="expression" dxfId="622" priority="904" stopIfTrue="1">
      <formula>R9=KeySick</formula>
    </cfRule>
    <cfRule type="expression" dxfId="621" priority="905" stopIfTrue="1">
      <formula>R9=KeyPersonal</formula>
    </cfRule>
    <cfRule type="expression" dxfId="620" priority="906" stopIfTrue="1">
      <formula>R9=KeyVacation</formula>
    </cfRule>
  </conditionalFormatting>
  <conditionalFormatting sqref="R28">
    <cfRule type="expression" priority="895" stopIfTrue="1">
      <formula>R28=""</formula>
    </cfRule>
    <cfRule type="expression" dxfId="619" priority="896" stopIfTrue="1">
      <formula>R28=KeyCustom2</formula>
    </cfRule>
    <cfRule type="expression" dxfId="618" priority="897" stopIfTrue="1">
      <formula>R28=KeyCustom1</formula>
    </cfRule>
    <cfRule type="expression" dxfId="617" priority="898" stopIfTrue="1">
      <formula>R28=KeySick</formula>
    </cfRule>
    <cfRule type="expression" dxfId="616" priority="899" stopIfTrue="1">
      <formula>R28=KeyPersonal</formula>
    </cfRule>
    <cfRule type="expression" dxfId="615" priority="900" stopIfTrue="1">
      <formula>R28=KeyVacation</formula>
    </cfRule>
  </conditionalFormatting>
  <conditionalFormatting sqref="J12">
    <cfRule type="expression" priority="889" stopIfTrue="1">
      <formula>J12=""</formula>
    </cfRule>
    <cfRule type="expression" dxfId="614" priority="890" stopIfTrue="1">
      <formula>J12=KeyCustom2</formula>
    </cfRule>
    <cfRule type="expression" dxfId="613" priority="891" stopIfTrue="1">
      <formula>J12=KeyCustom1</formula>
    </cfRule>
    <cfRule type="expression" dxfId="612" priority="892" stopIfTrue="1">
      <formula>J12=KeySick</formula>
    </cfRule>
    <cfRule type="expression" dxfId="611" priority="893" stopIfTrue="1">
      <formula>J12=KeyPersonal</formula>
    </cfRule>
    <cfRule type="expression" dxfId="610" priority="894" stopIfTrue="1">
      <formula>J12=KeyVacation</formula>
    </cfRule>
  </conditionalFormatting>
  <conditionalFormatting sqref="F12">
    <cfRule type="expression" priority="877" stopIfTrue="1">
      <formula>F12=""</formula>
    </cfRule>
    <cfRule type="expression" dxfId="604" priority="878" stopIfTrue="1">
      <formula>F12=KeyCustom2</formula>
    </cfRule>
    <cfRule type="expression" dxfId="603" priority="879" stopIfTrue="1">
      <formula>F12=KeyCustom1</formula>
    </cfRule>
    <cfRule type="expression" dxfId="602" priority="880" stopIfTrue="1">
      <formula>F12=KeySick</formula>
    </cfRule>
    <cfRule type="expression" dxfId="601" priority="881" stopIfTrue="1">
      <formula>F12=KeyPersonal</formula>
    </cfRule>
    <cfRule type="expression" dxfId="600" priority="882" stopIfTrue="1">
      <formula>F12=KeyVacation</formula>
    </cfRule>
  </conditionalFormatting>
  <conditionalFormatting sqref="E12">
    <cfRule type="expression" priority="871" stopIfTrue="1">
      <formula>E12=""</formula>
    </cfRule>
    <cfRule type="expression" dxfId="599" priority="872" stopIfTrue="1">
      <formula>E12=KeyCustom2</formula>
    </cfRule>
    <cfRule type="expression" dxfId="598" priority="873" stopIfTrue="1">
      <formula>E12=KeyCustom1</formula>
    </cfRule>
    <cfRule type="expression" dxfId="597" priority="874" stopIfTrue="1">
      <formula>E12=KeySick</formula>
    </cfRule>
    <cfRule type="expression" dxfId="596" priority="875" stopIfTrue="1">
      <formula>E12=KeyPersonal</formula>
    </cfRule>
    <cfRule type="expression" dxfId="595" priority="876" stopIfTrue="1">
      <formula>E12=KeyVacation</formula>
    </cfRule>
  </conditionalFormatting>
  <conditionalFormatting sqref="L12">
    <cfRule type="expression" priority="865" stopIfTrue="1">
      <formula>L12=""</formula>
    </cfRule>
    <cfRule type="expression" dxfId="594" priority="866" stopIfTrue="1">
      <formula>L12=KeyCustom2</formula>
    </cfRule>
    <cfRule type="expression" dxfId="593" priority="867" stopIfTrue="1">
      <formula>L12=KeyCustom1</formula>
    </cfRule>
    <cfRule type="expression" dxfId="592" priority="868" stopIfTrue="1">
      <formula>L12=KeySick</formula>
    </cfRule>
    <cfRule type="expression" dxfId="591" priority="869" stopIfTrue="1">
      <formula>L12=KeyPersonal</formula>
    </cfRule>
    <cfRule type="expression" dxfId="590" priority="870" stopIfTrue="1">
      <formula>L12=KeyVacation</formula>
    </cfRule>
  </conditionalFormatting>
  <conditionalFormatting sqref="M12">
    <cfRule type="expression" priority="859" stopIfTrue="1">
      <formula>M12=""</formula>
    </cfRule>
    <cfRule type="expression" dxfId="589" priority="860" stopIfTrue="1">
      <formula>M12=KeyCustom2</formula>
    </cfRule>
    <cfRule type="expression" dxfId="588" priority="861" stopIfTrue="1">
      <formula>M12=KeyCustom1</formula>
    </cfRule>
    <cfRule type="expression" dxfId="587" priority="862" stopIfTrue="1">
      <formula>M12=KeySick</formula>
    </cfRule>
    <cfRule type="expression" dxfId="586" priority="863" stopIfTrue="1">
      <formula>M12=KeyPersonal</formula>
    </cfRule>
    <cfRule type="expression" dxfId="585" priority="864" stopIfTrue="1">
      <formula>M12=KeyVacation</formula>
    </cfRule>
  </conditionalFormatting>
  <conditionalFormatting sqref="P12">
    <cfRule type="expression" priority="817" stopIfTrue="1">
      <formula>P12=""</formula>
    </cfRule>
    <cfRule type="expression" dxfId="584" priority="818" stopIfTrue="1">
      <formula>P12=KeyCustom2</formula>
    </cfRule>
    <cfRule type="expression" dxfId="583" priority="819" stopIfTrue="1">
      <formula>P12=KeyCustom1</formula>
    </cfRule>
    <cfRule type="expression" dxfId="582" priority="820" stopIfTrue="1">
      <formula>P12=KeySick</formula>
    </cfRule>
    <cfRule type="expression" dxfId="581" priority="821" stopIfTrue="1">
      <formula>P12=KeyPersonal</formula>
    </cfRule>
    <cfRule type="expression" dxfId="580" priority="822" stopIfTrue="1">
      <formula>P12=KeyVacation</formula>
    </cfRule>
  </conditionalFormatting>
  <conditionalFormatting sqref="G12">
    <cfRule type="expression" priority="853" stopIfTrue="1">
      <formula>G12=""</formula>
    </cfRule>
    <cfRule type="expression" dxfId="579" priority="854" stopIfTrue="1">
      <formula>G12=KeyCustom2</formula>
    </cfRule>
    <cfRule type="expression" dxfId="578" priority="855" stopIfTrue="1">
      <formula>G12=KeyCustom1</formula>
    </cfRule>
    <cfRule type="expression" dxfId="577" priority="856" stopIfTrue="1">
      <formula>G12=KeySick</formula>
    </cfRule>
    <cfRule type="expression" dxfId="576" priority="857" stopIfTrue="1">
      <formula>G12=KeyPersonal</formula>
    </cfRule>
    <cfRule type="expression" dxfId="575" priority="858" stopIfTrue="1">
      <formula>G12=KeyVacation</formula>
    </cfRule>
  </conditionalFormatting>
  <conditionalFormatting sqref="H12">
    <cfRule type="expression" priority="847" stopIfTrue="1">
      <formula>H12=""</formula>
    </cfRule>
    <cfRule type="expression" dxfId="574" priority="848" stopIfTrue="1">
      <formula>H12=KeyCustom2</formula>
    </cfRule>
    <cfRule type="expression" dxfId="573" priority="849" stopIfTrue="1">
      <formula>H12=KeyCustom1</formula>
    </cfRule>
    <cfRule type="expression" dxfId="572" priority="850" stopIfTrue="1">
      <formula>H12=KeySick</formula>
    </cfRule>
    <cfRule type="expression" dxfId="571" priority="851" stopIfTrue="1">
      <formula>H12=KeyPersonal</formula>
    </cfRule>
    <cfRule type="expression" dxfId="570" priority="852" stopIfTrue="1">
      <formula>H12=KeyVacation</formula>
    </cfRule>
  </conditionalFormatting>
  <conditionalFormatting sqref="I12">
    <cfRule type="expression" priority="841" stopIfTrue="1">
      <formula>I12=""</formula>
    </cfRule>
    <cfRule type="expression" dxfId="569" priority="842" stopIfTrue="1">
      <formula>I12=KeyCustom2</formula>
    </cfRule>
    <cfRule type="expression" dxfId="568" priority="843" stopIfTrue="1">
      <formula>I12=KeyCustom1</formula>
    </cfRule>
    <cfRule type="expression" dxfId="567" priority="844" stopIfTrue="1">
      <formula>I12=KeySick</formula>
    </cfRule>
    <cfRule type="expression" dxfId="566" priority="845" stopIfTrue="1">
      <formula>I12=KeyPersonal</formula>
    </cfRule>
    <cfRule type="expression" dxfId="565" priority="846" stopIfTrue="1">
      <formula>I12=KeyVacation</formula>
    </cfRule>
  </conditionalFormatting>
  <conditionalFormatting sqref="K12">
    <cfRule type="expression" priority="835" stopIfTrue="1">
      <formula>K12=""</formula>
    </cfRule>
    <cfRule type="expression" dxfId="564" priority="836" stopIfTrue="1">
      <formula>K12=KeyCustom2</formula>
    </cfRule>
    <cfRule type="expression" dxfId="563" priority="837" stopIfTrue="1">
      <formula>K12=KeyCustom1</formula>
    </cfRule>
    <cfRule type="expression" dxfId="562" priority="838" stopIfTrue="1">
      <formula>K12=KeySick</formula>
    </cfRule>
    <cfRule type="expression" dxfId="561" priority="839" stopIfTrue="1">
      <formula>K12=KeyPersonal</formula>
    </cfRule>
    <cfRule type="expression" dxfId="560" priority="840" stopIfTrue="1">
      <formula>K12=KeyVacation</formula>
    </cfRule>
  </conditionalFormatting>
  <conditionalFormatting sqref="N12">
    <cfRule type="expression" priority="829" stopIfTrue="1">
      <formula>N12=""</formula>
    </cfRule>
    <cfRule type="expression" dxfId="559" priority="830" stopIfTrue="1">
      <formula>N12=KeyCustom2</formula>
    </cfRule>
    <cfRule type="expression" dxfId="558" priority="831" stopIfTrue="1">
      <formula>N12=KeyCustom1</formula>
    </cfRule>
    <cfRule type="expression" dxfId="557" priority="832" stopIfTrue="1">
      <formula>N12=KeySick</formula>
    </cfRule>
    <cfRule type="expression" dxfId="556" priority="833" stopIfTrue="1">
      <formula>N12=KeyPersonal</formula>
    </cfRule>
    <cfRule type="expression" dxfId="555" priority="834" stopIfTrue="1">
      <formula>N12=KeyVacation</formula>
    </cfRule>
  </conditionalFormatting>
  <conditionalFormatting sqref="O12">
    <cfRule type="expression" priority="823" stopIfTrue="1">
      <formula>O12=""</formula>
    </cfRule>
    <cfRule type="expression" dxfId="554" priority="824" stopIfTrue="1">
      <formula>O12=KeyCustom2</formula>
    </cfRule>
    <cfRule type="expression" dxfId="553" priority="825" stopIfTrue="1">
      <formula>O12=KeyCustom1</formula>
    </cfRule>
    <cfRule type="expression" dxfId="552" priority="826" stopIfTrue="1">
      <formula>O12=KeySick</formula>
    </cfRule>
    <cfRule type="expression" dxfId="551" priority="827" stopIfTrue="1">
      <formula>O12=KeyPersonal</formula>
    </cfRule>
    <cfRule type="expression" dxfId="550" priority="828" stopIfTrue="1">
      <formula>O12=KeyVacation</formula>
    </cfRule>
  </conditionalFormatting>
  <conditionalFormatting sqref="Q12">
    <cfRule type="expression" priority="811" stopIfTrue="1">
      <formula>Q12=""</formula>
    </cfRule>
    <cfRule type="expression" dxfId="549" priority="812" stopIfTrue="1">
      <formula>Q12=KeyCustom2</formula>
    </cfRule>
    <cfRule type="expression" dxfId="548" priority="813" stopIfTrue="1">
      <formula>Q12=KeyCustom1</formula>
    </cfRule>
    <cfRule type="expression" dxfId="547" priority="814" stopIfTrue="1">
      <formula>Q12=KeySick</formula>
    </cfRule>
    <cfRule type="expression" dxfId="546" priority="815" stopIfTrue="1">
      <formula>Q12=KeyPersonal</formula>
    </cfRule>
    <cfRule type="expression" dxfId="545" priority="816" stopIfTrue="1">
      <formula>Q12=KeyVacation</formula>
    </cfRule>
  </conditionalFormatting>
  <conditionalFormatting sqref="R12">
    <cfRule type="expression" priority="805" stopIfTrue="1">
      <formula>R12=""</formula>
    </cfRule>
    <cfRule type="expression" dxfId="544" priority="806" stopIfTrue="1">
      <formula>R12=KeyCustom2</formula>
    </cfRule>
    <cfRule type="expression" dxfId="543" priority="807" stopIfTrue="1">
      <formula>R12=KeyCustom1</formula>
    </cfRule>
    <cfRule type="expression" dxfId="542" priority="808" stopIfTrue="1">
      <formula>R12=KeySick</formula>
    </cfRule>
    <cfRule type="expression" dxfId="541" priority="809" stopIfTrue="1">
      <formula>R12=KeyPersonal</formula>
    </cfRule>
    <cfRule type="expression" dxfId="540" priority="810" stopIfTrue="1">
      <formula>R12=KeyVacation</formula>
    </cfRule>
  </conditionalFormatting>
  <conditionalFormatting sqref="P19:P20">
    <cfRule type="expression" priority="781" stopIfTrue="1">
      <formula>P19=""</formula>
    </cfRule>
    <cfRule type="expression" dxfId="539" priority="782" stopIfTrue="1">
      <formula>P19=KeyCustom2</formula>
    </cfRule>
    <cfRule type="expression" dxfId="538" priority="783" stopIfTrue="1">
      <formula>P19=KeyCustom1</formula>
    </cfRule>
    <cfRule type="expression" dxfId="537" priority="784" stopIfTrue="1">
      <formula>P19=KeySick</formula>
    </cfRule>
    <cfRule type="expression" dxfId="536" priority="785" stopIfTrue="1">
      <formula>P19=KeyPersonal</formula>
    </cfRule>
    <cfRule type="expression" dxfId="535" priority="786" stopIfTrue="1">
      <formula>P19=KeyVacation</formula>
    </cfRule>
  </conditionalFormatting>
  <conditionalFormatting sqref="N19:N20">
    <cfRule type="expression" priority="793" stopIfTrue="1">
      <formula>N19=""</formula>
    </cfRule>
    <cfRule type="expression" dxfId="534" priority="794" stopIfTrue="1">
      <formula>N19=KeyCustom2</formula>
    </cfRule>
    <cfRule type="expression" dxfId="533" priority="795" stopIfTrue="1">
      <formula>N19=KeyCustom1</formula>
    </cfRule>
    <cfRule type="expression" dxfId="532" priority="796" stopIfTrue="1">
      <formula>N19=KeySick</formula>
    </cfRule>
    <cfRule type="expression" dxfId="531" priority="797" stopIfTrue="1">
      <formula>N19=KeyPersonal</formula>
    </cfRule>
    <cfRule type="expression" dxfId="530" priority="798" stopIfTrue="1">
      <formula>N19=KeyVacation</formula>
    </cfRule>
  </conditionalFormatting>
  <conditionalFormatting sqref="O19:O20">
    <cfRule type="expression" priority="787" stopIfTrue="1">
      <formula>O19=""</formula>
    </cfRule>
    <cfRule type="expression" dxfId="529" priority="788" stopIfTrue="1">
      <formula>O19=KeyCustom2</formula>
    </cfRule>
    <cfRule type="expression" dxfId="528" priority="789" stopIfTrue="1">
      <formula>O19=KeyCustom1</formula>
    </cfRule>
    <cfRule type="expression" dxfId="527" priority="790" stopIfTrue="1">
      <formula>O19=KeySick</formula>
    </cfRule>
    <cfRule type="expression" dxfId="526" priority="791" stopIfTrue="1">
      <formula>O19=KeyPersonal</formula>
    </cfRule>
    <cfRule type="expression" dxfId="525" priority="792" stopIfTrue="1">
      <formula>O19=KeyVacation</formula>
    </cfRule>
  </conditionalFormatting>
  <conditionalFormatting sqref="Q19:Q20">
    <cfRule type="expression" priority="775" stopIfTrue="1">
      <formula>Q19=""</formula>
    </cfRule>
    <cfRule type="expression" dxfId="524" priority="776" stopIfTrue="1">
      <formula>Q19=KeyCustom2</formula>
    </cfRule>
    <cfRule type="expression" dxfId="523" priority="777" stopIfTrue="1">
      <formula>Q19=KeyCustom1</formula>
    </cfRule>
    <cfRule type="expression" dxfId="522" priority="778" stopIfTrue="1">
      <formula>Q19=KeySick</formula>
    </cfRule>
    <cfRule type="expression" dxfId="521" priority="779" stopIfTrue="1">
      <formula>Q19=KeyPersonal</formula>
    </cfRule>
    <cfRule type="expression" dxfId="520" priority="780" stopIfTrue="1">
      <formula>Q19=KeyVacation</formula>
    </cfRule>
  </conditionalFormatting>
  <conditionalFormatting sqref="R19:R20">
    <cfRule type="expression" priority="769" stopIfTrue="1">
      <formula>R19=""</formula>
    </cfRule>
    <cfRule type="expression" dxfId="519" priority="770" stopIfTrue="1">
      <formula>R19=KeyCustom2</formula>
    </cfRule>
    <cfRule type="expression" dxfId="518" priority="771" stopIfTrue="1">
      <formula>R19=KeyCustom1</formula>
    </cfRule>
    <cfRule type="expression" dxfId="517" priority="772" stopIfTrue="1">
      <formula>R19=KeySick</formula>
    </cfRule>
    <cfRule type="expression" dxfId="516" priority="773" stopIfTrue="1">
      <formula>R19=KeyPersonal</formula>
    </cfRule>
    <cfRule type="expression" dxfId="515" priority="774" stopIfTrue="1">
      <formula>R19=KeyVacation</formula>
    </cfRule>
  </conditionalFormatting>
  <conditionalFormatting sqref="K19:K20">
    <cfRule type="expression" priority="763" stopIfTrue="1">
      <formula>K19=""</formula>
    </cfRule>
    <cfRule type="expression" dxfId="514" priority="764" stopIfTrue="1">
      <formula>K19=KeyCustom2</formula>
    </cfRule>
    <cfRule type="expression" dxfId="513" priority="765" stopIfTrue="1">
      <formula>K19=KeyCustom1</formula>
    </cfRule>
    <cfRule type="expression" dxfId="512" priority="766" stopIfTrue="1">
      <formula>K19=KeySick</formula>
    </cfRule>
    <cfRule type="expression" dxfId="511" priority="767" stopIfTrue="1">
      <formula>K19=KeyPersonal</formula>
    </cfRule>
    <cfRule type="expression" dxfId="510" priority="768" stopIfTrue="1">
      <formula>K19=KeyVacation</formula>
    </cfRule>
  </conditionalFormatting>
  <conditionalFormatting sqref="U9:U11 U21 U13:U18 U23:U27">
    <cfRule type="expression" priority="757" stopIfTrue="1">
      <formula>U9=""</formula>
    </cfRule>
    <cfRule type="expression" dxfId="509" priority="758" stopIfTrue="1">
      <formula>U9=KeyCustom2</formula>
    </cfRule>
    <cfRule type="expression" dxfId="508" priority="759" stopIfTrue="1">
      <formula>U9=KeyCustom1</formula>
    </cfRule>
    <cfRule type="expression" dxfId="507" priority="760" stopIfTrue="1">
      <formula>U9=KeySick</formula>
    </cfRule>
    <cfRule type="expression" dxfId="506" priority="761" stopIfTrue="1">
      <formula>U9=KeyPersonal</formula>
    </cfRule>
    <cfRule type="expression" dxfId="505" priority="762" stopIfTrue="1">
      <formula>U9=KeyVacation</formula>
    </cfRule>
  </conditionalFormatting>
  <conditionalFormatting sqref="U28">
    <cfRule type="expression" priority="751" stopIfTrue="1">
      <formula>U28=""</formula>
    </cfRule>
    <cfRule type="expression" dxfId="504" priority="752" stopIfTrue="1">
      <formula>U28=KeyCustom2</formula>
    </cfRule>
    <cfRule type="expression" dxfId="503" priority="753" stopIfTrue="1">
      <formula>U28=KeyCustom1</formula>
    </cfRule>
    <cfRule type="expression" dxfId="502" priority="754" stopIfTrue="1">
      <formula>U28=KeySick</formula>
    </cfRule>
    <cfRule type="expression" dxfId="501" priority="755" stopIfTrue="1">
      <formula>U28=KeyPersonal</formula>
    </cfRule>
    <cfRule type="expression" dxfId="500" priority="756" stopIfTrue="1">
      <formula>U28=KeyVacation</formula>
    </cfRule>
  </conditionalFormatting>
  <conditionalFormatting sqref="U12">
    <cfRule type="expression" priority="745" stopIfTrue="1">
      <formula>U12=""</formula>
    </cfRule>
    <cfRule type="expression" dxfId="499" priority="746" stopIfTrue="1">
      <formula>U12=KeyCustom2</formula>
    </cfRule>
    <cfRule type="expression" dxfId="498" priority="747" stopIfTrue="1">
      <formula>U12=KeyCustom1</formula>
    </cfRule>
    <cfRule type="expression" dxfId="497" priority="748" stopIfTrue="1">
      <formula>U12=KeySick</formula>
    </cfRule>
    <cfRule type="expression" dxfId="496" priority="749" stopIfTrue="1">
      <formula>U12=KeyPersonal</formula>
    </cfRule>
    <cfRule type="expression" dxfId="495" priority="750" stopIfTrue="1">
      <formula>U12=KeyVacation</formula>
    </cfRule>
  </conditionalFormatting>
  <conditionalFormatting sqref="U19">
    <cfRule type="expression" priority="739" stopIfTrue="1">
      <formula>U19=""</formula>
    </cfRule>
    <cfRule type="expression" dxfId="494" priority="740" stopIfTrue="1">
      <formula>U19=KeyCustom2</formula>
    </cfRule>
    <cfRule type="expression" dxfId="493" priority="741" stopIfTrue="1">
      <formula>U19=KeyCustom1</formula>
    </cfRule>
    <cfRule type="expression" dxfId="492" priority="742" stopIfTrue="1">
      <formula>U19=KeySick</formula>
    </cfRule>
    <cfRule type="expression" dxfId="491" priority="743" stopIfTrue="1">
      <formula>U19=KeyPersonal</formula>
    </cfRule>
    <cfRule type="expression" dxfId="490" priority="744" stopIfTrue="1">
      <formula>U19=KeyVacation</formula>
    </cfRule>
  </conditionalFormatting>
  <conditionalFormatting sqref="V9:V11 V21 V13:V18 V23:V27">
    <cfRule type="expression" priority="733" stopIfTrue="1">
      <formula>V9=""</formula>
    </cfRule>
    <cfRule type="expression" dxfId="489" priority="734" stopIfTrue="1">
      <formula>V9=KeyCustom2</formula>
    </cfRule>
    <cfRule type="expression" dxfId="488" priority="735" stopIfTrue="1">
      <formula>V9=KeyCustom1</formula>
    </cfRule>
    <cfRule type="expression" dxfId="487" priority="736" stopIfTrue="1">
      <formula>V9=KeySick</formula>
    </cfRule>
    <cfRule type="expression" dxfId="486" priority="737" stopIfTrue="1">
      <formula>V9=KeyPersonal</formula>
    </cfRule>
    <cfRule type="expression" dxfId="485" priority="738" stopIfTrue="1">
      <formula>V9=KeyVacation</formula>
    </cfRule>
  </conditionalFormatting>
  <conditionalFormatting sqref="V28">
    <cfRule type="expression" priority="727" stopIfTrue="1">
      <formula>V28=""</formula>
    </cfRule>
    <cfRule type="expression" dxfId="484" priority="728" stopIfTrue="1">
      <formula>V28=KeyCustom2</formula>
    </cfRule>
    <cfRule type="expression" dxfId="483" priority="729" stopIfTrue="1">
      <formula>V28=KeyCustom1</formula>
    </cfRule>
    <cfRule type="expression" dxfId="482" priority="730" stopIfTrue="1">
      <formula>V28=KeySick</formula>
    </cfRule>
    <cfRule type="expression" dxfId="481" priority="731" stopIfTrue="1">
      <formula>V28=KeyPersonal</formula>
    </cfRule>
    <cfRule type="expression" dxfId="480" priority="732" stopIfTrue="1">
      <formula>V28=KeyVacation</formula>
    </cfRule>
  </conditionalFormatting>
  <conditionalFormatting sqref="V12">
    <cfRule type="expression" priority="721" stopIfTrue="1">
      <formula>V12=""</formula>
    </cfRule>
    <cfRule type="expression" dxfId="479" priority="722" stopIfTrue="1">
      <formula>V12=KeyCustom2</formula>
    </cfRule>
    <cfRule type="expression" dxfId="478" priority="723" stopIfTrue="1">
      <formula>V12=KeyCustom1</formula>
    </cfRule>
    <cfRule type="expression" dxfId="477" priority="724" stopIfTrue="1">
      <formula>V12=KeySick</formula>
    </cfRule>
    <cfRule type="expression" dxfId="476" priority="725" stopIfTrue="1">
      <formula>V12=KeyPersonal</formula>
    </cfRule>
    <cfRule type="expression" dxfId="475" priority="726" stopIfTrue="1">
      <formula>V12=KeyVacation</formula>
    </cfRule>
  </conditionalFormatting>
  <conditionalFormatting sqref="V19">
    <cfRule type="expression" priority="715" stopIfTrue="1">
      <formula>V19=""</formula>
    </cfRule>
    <cfRule type="expression" dxfId="474" priority="716" stopIfTrue="1">
      <formula>V19=KeyCustom2</formula>
    </cfRule>
    <cfRule type="expression" dxfId="473" priority="717" stopIfTrue="1">
      <formula>V19=KeyCustom1</formula>
    </cfRule>
    <cfRule type="expression" dxfId="472" priority="718" stopIfTrue="1">
      <formula>V19=KeySick</formula>
    </cfRule>
    <cfRule type="expression" dxfId="471" priority="719" stopIfTrue="1">
      <formula>V19=KeyPersonal</formula>
    </cfRule>
    <cfRule type="expression" dxfId="470" priority="720" stopIfTrue="1">
      <formula>V19=KeyVacation</formula>
    </cfRule>
  </conditionalFormatting>
  <conditionalFormatting sqref="W9:W11 W21 W13:W18 W23:W27">
    <cfRule type="expression" priority="709" stopIfTrue="1">
      <formula>W9=""</formula>
    </cfRule>
    <cfRule type="expression" dxfId="469" priority="710" stopIfTrue="1">
      <formula>W9=KeyCustom2</formula>
    </cfRule>
    <cfRule type="expression" dxfId="468" priority="711" stopIfTrue="1">
      <formula>W9=KeyCustom1</formula>
    </cfRule>
    <cfRule type="expression" dxfId="467" priority="712" stopIfTrue="1">
      <formula>W9=KeySick</formula>
    </cfRule>
    <cfRule type="expression" dxfId="466" priority="713" stopIfTrue="1">
      <formula>W9=KeyPersonal</formula>
    </cfRule>
    <cfRule type="expression" dxfId="465" priority="714" stopIfTrue="1">
      <formula>W9=KeyVacation</formula>
    </cfRule>
  </conditionalFormatting>
  <conditionalFormatting sqref="W28">
    <cfRule type="expression" priority="703" stopIfTrue="1">
      <formula>W28=""</formula>
    </cfRule>
    <cfRule type="expression" dxfId="464" priority="704" stopIfTrue="1">
      <formula>W28=KeyCustom2</formula>
    </cfRule>
    <cfRule type="expression" dxfId="463" priority="705" stopIfTrue="1">
      <formula>W28=KeyCustom1</formula>
    </cfRule>
    <cfRule type="expression" dxfId="462" priority="706" stopIfTrue="1">
      <formula>W28=KeySick</formula>
    </cfRule>
    <cfRule type="expression" dxfId="461" priority="707" stopIfTrue="1">
      <formula>W28=KeyPersonal</formula>
    </cfRule>
    <cfRule type="expression" dxfId="460" priority="708" stopIfTrue="1">
      <formula>W28=KeyVacation</formula>
    </cfRule>
  </conditionalFormatting>
  <conditionalFormatting sqref="W12">
    <cfRule type="expression" priority="697" stopIfTrue="1">
      <formula>W12=""</formula>
    </cfRule>
    <cfRule type="expression" dxfId="459" priority="698" stopIfTrue="1">
      <formula>W12=KeyCustom2</formula>
    </cfRule>
    <cfRule type="expression" dxfId="458" priority="699" stopIfTrue="1">
      <formula>W12=KeyCustom1</formula>
    </cfRule>
    <cfRule type="expression" dxfId="457" priority="700" stopIfTrue="1">
      <formula>W12=KeySick</formula>
    </cfRule>
    <cfRule type="expression" dxfId="456" priority="701" stopIfTrue="1">
      <formula>W12=KeyPersonal</formula>
    </cfRule>
    <cfRule type="expression" dxfId="455" priority="702" stopIfTrue="1">
      <formula>W12=KeyVacation</formula>
    </cfRule>
  </conditionalFormatting>
  <conditionalFormatting sqref="W19">
    <cfRule type="expression" priority="691" stopIfTrue="1">
      <formula>W19=""</formula>
    </cfRule>
    <cfRule type="expression" dxfId="454" priority="692" stopIfTrue="1">
      <formula>W19=KeyCustom2</formula>
    </cfRule>
    <cfRule type="expression" dxfId="453" priority="693" stopIfTrue="1">
      <formula>W19=KeyCustom1</formula>
    </cfRule>
    <cfRule type="expression" dxfId="452" priority="694" stopIfTrue="1">
      <formula>W19=KeySick</formula>
    </cfRule>
    <cfRule type="expression" dxfId="451" priority="695" stopIfTrue="1">
      <formula>W19=KeyPersonal</formula>
    </cfRule>
    <cfRule type="expression" dxfId="450" priority="696" stopIfTrue="1">
      <formula>W19=KeyVacation</formula>
    </cfRule>
  </conditionalFormatting>
  <conditionalFormatting sqref="X9:X11 X21 X13:X18 X23:X27">
    <cfRule type="expression" priority="685" stopIfTrue="1">
      <formula>X9=""</formula>
    </cfRule>
    <cfRule type="expression" dxfId="449" priority="686" stopIfTrue="1">
      <formula>X9=KeyCustom2</formula>
    </cfRule>
    <cfRule type="expression" dxfId="448" priority="687" stopIfTrue="1">
      <formula>X9=KeyCustom1</formula>
    </cfRule>
    <cfRule type="expression" dxfId="447" priority="688" stopIfTrue="1">
      <formula>X9=KeySick</formula>
    </cfRule>
    <cfRule type="expression" dxfId="446" priority="689" stopIfTrue="1">
      <formula>X9=KeyPersonal</formula>
    </cfRule>
    <cfRule type="expression" dxfId="445" priority="690" stopIfTrue="1">
      <formula>X9=KeyVacation</formula>
    </cfRule>
  </conditionalFormatting>
  <conditionalFormatting sqref="X28">
    <cfRule type="expression" priority="679" stopIfTrue="1">
      <formula>X28=""</formula>
    </cfRule>
    <cfRule type="expression" dxfId="444" priority="680" stopIfTrue="1">
      <formula>X28=KeyCustom2</formula>
    </cfRule>
    <cfRule type="expression" dxfId="443" priority="681" stopIfTrue="1">
      <formula>X28=KeyCustom1</formula>
    </cfRule>
    <cfRule type="expression" dxfId="442" priority="682" stopIfTrue="1">
      <formula>X28=KeySick</formula>
    </cfRule>
    <cfRule type="expression" dxfId="441" priority="683" stopIfTrue="1">
      <formula>X28=KeyPersonal</formula>
    </cfRule>
    <cfRule type="expression" dxfId="440" priority="684" stopIfTrue="1">
      <formula>X28=KeyVacation</formula>
    </cfRule>
  </conditionalFormatting>
  <conditionalFormatting sqref="X12">
    <cfRule type="expression" priority="673" stopIfTrue="1">
      <formula>X12=""</formula>
    </cfRule>
    <cfRule type="expression" dxfId="439" priority="674" stopIfTrue="1">
      <formula>X12=KeyCustom2</formula>
    </cfRule>
    <cfRule type="expression" dxfId="438" priority="675" stopIfTrue="1">
      <formula>X12=KeyCustom1</formula>
    </cfRule>
    <cfRule type="expression" dxfId="437" priority="676" stopIfTrue="1">
      <formula>X12=KeySick</formula>
    </cfRule>
    <cfRule type="expression" dxfId="436" priority="677" stopIfTrue="1">
      <formula>X12=KeyPersonal</formula>
    </cfRule>
    <cfRule type="expression" dxfId="435" priority="678" stopIfTrue="1">
      <formula>X12=KeyVacation</formula>
    </cfRule>
  </conditionalFormatting>
  <conditionalFormatting sqref="S19:S20">
    <cfRule type="expression" priority="643" stopIfTrue="1">
      <formula>S19=""</formula>
    </cfRule>
    <cfRule type="expression" dxfId="434" priority="644" stopIfTrue="1">
      <formula>S19=KeyCustom2</formula>
    </cfRule>
    <cfRule type="expression" dxfId="433" priority="645" stopIfTrue="1">
      <formula>S19=KeyCustom1</formula>
    </cfRule>
    <cfRule type="expression" dxfId="432" priority="646" stopIfTrue="1">
      <formula>S19=KeySick</formula>
    </cfRule>
    <cfRule type="expression" dxfId="431" priority="647" stopIfTrue="1">
      <formula>S19=KeyPersonal</formula>
    </cfRule>
    <cfRule type="expression" dxfId="430" priority="648" stopIfTrue="1">
      <formula>S19=KeyVacation</formula>
    </cfRule>
  </conditionalFormatting>
  <conditionalFormatting sqref="S16">
    <cfRule type="expression" priority="661" stopIfTrue="1">
      <formula>S16=""</formula>
    </cfRule>
    <cfRule type="expression" dxfId="429" priority="662" stopIfTrue="1">
      <formula>S16=KeyCustom2</formula>
    </cfRule>
    <cfRule type="expression" dxfId="428" priority="663" stopIfTrue="1">
      <formula>S16=KeyCustom1</formula>
    </cfRule>
    <cfRule type="expression" dxfId="427" priority="664" stopIfTrue="1">
      <formula>S16=KeySick</formula>
    </cfRule>
    <cfRule type="expression" dxfId="426" priority="665" stopIfTrue="1">
      <formula>S16=KeyPersonal</formula>
    </cfRule>
    <cfRule type="expression" dxfId="425" priority="666" stopIfTrue="1">
      <formula>S16=KeyVacation</formula>
    </cfRule>
  </conditionalFormatting>
  <conditionalFormatting sqref="S17">
    <cfRule type="expression" priority="655" stopIfTrue="1">
      <formula>S17=""</formula>
    </cfRule>
    <cfRule type="expression" dxfId="424" priority="656" stopIfTrue="1">
      <formula>S17=KeyCustom2</formula>
    </cfRule>
    <cfRule type="expression" dxfId="423" priority="657" stopIfTrue="1">
      <formula>S17=KeyCustom1</formula>
    </cfRule>
    <cfRule type="expression" dxfId="422" priority="658" stopIfTrue="1">
      <formula>S17=KeySick</formula>
    </cfRule>
    <cfRule type="expression" dxfId="421" priority="659" stopIfTrue="1">
      <formula>S17=KeyPersonal</formula>
    </cfRule>
    <cfRule type="expression" dxfId="420" priority="660" stopIfTrue="1">
      <formula>S17=KeyVacation</formula>
    </cfRule>
  </conditionalFormatting>
  <conditionalFormatting sqref="S18">
    <cfRule type="expression" priority="649" stopIfTrue="1">
      <formula>S18=""</formula>
    </cfRule>
    <cfRule type="expression" dxfId="419" priority="650" stopIfTrue="1">
      <formula>S18=KeyCustom2</formula>
    </cfRule>
    <cfRule type="expression" dxfId="418" priority="651" stopIfTrue="1">
      <formula>S18=KeyCustom1</formula>
    </cfRule>
    <cfRule type="expression" dxfId="417" priority="652" stopIfTrue="1">
      <formula>S18=KeySick</formula>
    </cfRule>
    <cfRule type="expression" dxfId="416" priority="653" stopIfTrue="1">
      <formula>S18=KeyPersonal</formula>
    </cfRule>
    <cfRule type="expression" dxfId="415" priority="654" stopIfTrue="1">
      <formula>S18=KeyVacation</formula>
    </cfRule>
  </conditionalFormatting>
  <conditionalFormatting sqref="L16">
    <cfRule type="expression" priority="637" stopIfTrue="1">
      <formula>L16=""</formula>
    </cfRule>
    <cfRule type="expression" dxfId="414" priority="638" stopIfTrue="1">
      <formula>L16=KeyCustom2</formula>
    </cfRule>
    <cfRule type="expression" dxfId="413" priority="639" stopIfTrue="1">
      <formula>L16=KeyCustom1</formula>
    </cfRule>
    <cfRule type="expression" dxfId="412" priority="640" stopIfTrue="1">
      <formula>L16=KeySick</formula>
    </cfRule>
    <cfRule type="expression" dxfId="411" priority="641" stopIfTrue="1">
      <formula>L16=KeyPersonal</formula>
    </cfRule>
    <cfRule type="expression" dxfId="410" priority="642" stopIfTrue="1">
      <formula>L16=KeyVacation</formula>
    </cfRule>
  </conditionalFormatting>
  <conditionalFormatting sqref="L17">
    <cfRule type="expression" priority="631" stopIfTrue="1">
      <formula>L17=""</formula>
    </cfRule>
    <cfRule type="expression" dxfId="409" priority="632" stopIfTrue="1">
      <formula>L17=KeyCustom2</formula>
    </cfRule>
    <cfRule type="expression" dxfId="408" priority="633" stopIfTrue="1">
      <formula>L17=KeyCustom1</formula>
    </cfRule>
    <cfRule type="expression" dxfId="407" priority="634" stopIfTrue="1">
      <formula>L17=KeySick</formula>
    </cfRule>
    <cfRule type="expression" dxfId="406" priority="635" stopIfTrue="1">
      <formula>L17=KeyPersonal</formula>
    </cfRule>
    <cfRule type="expression" dxfId="405" priority="636" stopIfTrue="1">
      <formula>L17=KeyVacation</formula>
    </cfRule>
  </conditionalFormatting>
  <conditionalFormatting sqref="L19:L20">
    <cfRule type="expression" priority="625" stopIfTrue="1">
      <formula>L19=""</formula>
    </cfRule>
    <cfRule type="expression" dxfId="404" priority="626" stopIfTrue="1">
      <formula>L19=KeyCustom2</formula>
    </cfRule>
    <cfRule type="expression" dxfId="403" priority="627" stopIfTrue="1">
      <formula>L19=KeyCustom1</formula>
    </cfRule>
    <cfRule type="expression" dxfId="402" priority="628" stopIfTrue="1">
      <formula>L19=KeySick</formula>
    </cfRule>
    <cfRule type="expression" dxfId="401" priority="629" stopIfTrue="1">
      <formula>L19=KeyPersonal</formula>
    </cfRule>
    <cfRule type="expression" dxfId="400" priority="630" stopIfTrue="1">
      <formula>L19=KeyVacation</formula>
    </cfRule>
  </conditionalFormatting>
  <conditionalFormatting sqref="E16">
    <cfRule type="expression" priority="619" stopIfTrue="1">
      <formula>E16=""</formula>
    </cfRule>
    <cfRule type="expression" dxfId="399" priority="620" stopIfTrue="1">
      <formula>E16=KeyCustom2</formula>
    </cfRule>
    <cfRule type="expression" dxfId="398" priority="621" stopIfTrue="1">
      <formula>E16=KeyCustom1</formula>
    </cfRule>
    <cfRule type="expression" dxfId="397" priority="622" stopIfTrue="1">
      <formula>E16=KeySick</formula>
    </cfRule>
    <cfRule type="expression" dxfId="396" priority="623" stopIfTrue="1">
      <formula>E16=KeyPersonal</formula>
    </cfRule>
    <cfRule type="expression" dxfId="395" priority="624" stopIfTrue="1">
      <formula>E16=KeyVacation</formula>
    </cfRule>
  </conditionalFormatting>
  <conditionalFormatting sqref="E17">
    <cfRule type="expression" priority="613" stopIfTrue="1">
      <formula>E17=""</formula>
    </cfRule>
    <cfRule type="expression" dxfId="394" priority="614" stopIfTrue="1">
      <formula>E17=KeyCustom2</formula>
    </cfRule>
    <cfRule type="expression" dxfId="393" priority="615" stopIfTrue="1">
      <formula>E17=KeyCustom1</formula>
    </cfRule>
    <cfRule type="expression" dxfId="392" priority="616" stopIfTrue="1">
      <formula>E17=KeySick</formula>
    </cfRule>
    <cfRule type="expression" dxfId="391" priority="617" stopIfTrue="1">
      <formula>E17=KeyPersonal</formula>
    </cfRule>
    <cfRule type="expression" dxfId="390" priority="618" stopIfTrue="1">
      <formula>E17=KeyVacation</formula>
    </cfRule>
  </conditionalFormatting>
  <conditionalFormatting sqref="P16">
    <cfRule type="expression" priority="607" stopIfTrue="1">
      <formula>P16=""</formula>
    </cfRule>
    <cfRule type="expression" dxfId="389" priority="608" stopIfTrue="1">
      <formula>P16=KeyCustom2</formula>
    </cfRule>
    <cfRule type="expression" dxfId="388" priority="609" stopIfTrue="1">
      <formula>P16=KeyCustom1</formula>
    </cfRule>
    <cfRule type="expression" dxfId="387" priority="610" stopIfTrue="1">
      <formula>P16=KeySick</formula>
    </cfRule>
    <cfRule type="expression" dxfId="386" priority="611" stopIfTrue="1">
      <formula>P16=KeyPersonal</formula>
    </cfRule>
    <cfRule type="expression" dxfId="385" priority="612" stopIfTrue="1">
      <formula>P16=KeyVacation</formula>
    </cfRule>
  </conditionalFormatting>
  <conditionalFormatting sqref="Q16">
    <cfRule type="expression" priority="601" stopIfTrue="1">
      <formula>Q16=""</formula>
    </cfRule>
    <cfRule type="expression" dxfId="384" priority="602" stopIfTrue="1">
      <formula>Q16=KeyCustom2</formula>
    </cfRule>
    <cfRule type="expression" dxfId="383" priority="603" stopIfTrue="1">
      <formula>Q16=KeyCustom1</formula>
    </cfRule>
    <cfRule type="expression" dxfId="382" priority="604" stopIfTrue="1">
      <formula>Q16=KeySick</formula>
    </cfRule>
    <cfRule type="expression" dxfId="381" priority="605" stopIfTrue="1">
      <formula>Q16=KeyPersonal</formula>
    </cfRule>
    <cfRule type="expression" dxfId="380" priority="606" stopIfTrue="1">
      <formula>Q16=KeyVacation</formula>
    </cfRule>
  </conditionalFormatting>
  <conditionalFormatting sqref="Y9:Y11 Y21 Y13:Y14 Y16:Y18 Y26:Y27 Y23:Y24">
    <cfRule type="expression" priority="595" stopIfTrue="1">
      <formula>Y9=""</formula>
    </cfRule>
    <cfRule type="expression" dxfId="379" priority="596" stopIfTrue="1">
      <formula>Y9=KeyCustom2</formula>
    </cfRule>
    <cfRule type="expression" dxfId="378" priority="597" stopIfTrue="1">
      <formula>Y9=KeyCustom1</formula>
    </cfRule>
    <cfRule type="expression" dxfId="377" priority="598" stopIfTrue="1">
      <formula>Y9=KeySick</formula>
    </cfRule>
    <cfRule type="expression" dxfId="376" priority="599" stopIfTrue="1">
      <formula>Y9=KeyPersonal</formula>
    </cfRule>
    <cfRule type="expression" dxfId="375" priority="600" stopIfTrue="1">
      <formula>Y9=KeyVacation</formula>
    </cfRule>
  </conditionalFormatting>
  <conditionalFormatting sqref="Y28">
    <cfRule type="expression" priority="589" stopIfTrue="1">
      <formula>Y28=""</formula>
    </cfRule>
    <cfRule type="expression" dxfId="374" priority="590" stopIfTrue="1">
      <formula>Y28=KeyCustom2</formula>
    </cfRule>
    <cfRule type="expression" dxfId="373" priority="591" stopIfTrue="1">
      <formula>Y28=KeyCustom1</formula>
    </cfRule>
    <cfRule type="expression" dxfId="372" priority="592" stopIfTrue="1">
      <formula>Y28=KeySick</formula>
    </cfRule>
    <cfRule type="expression" dxfId="371" priority="593" stopIfTrue="1">
      <formula>Y28=KeyPersonal</formula>
    </cfRule>
    <cfRule type="expression" dxfId="370" priority="594" stopIfTrue="1">
      <formula>Y28=KeyVacation</formula>
    </cfRule>
  </conditionalFormatting>
  <conditionalFormatting sqref="Y12">
    <cfRule type="expression" priority="583" stopIfTrue="1">
      <formula>Y12=""</formula>
    </cfRule>
    <cfRule type="expression" dxfId="369" priority="584" stopIfTrue="1">
      <formula>Y12=KeyCustom2</formula>
    </cfRule>
    <cfRule type="expression" dxfId="368" priority="585" stopIfTrue="1">
      <formula>Y12=KeyCustom1</formula>
    </cfRule>
    <cfRule type="expression" dxfId="367" priority="586" stopIfTrue="1">
      <formula>Y12=KeySick</formula>
    </cfRule>
    <cfRule type="expression" dxfId="366" priority="587" stopIfTrue="1">
      <formula>Y12=KeyPersonal</formula>
    </cfRule>
    <cfRule type="expression" dxfId="365" priority="588" stopIfTrue="1">
      <formula>Y12=KeyVacation</formula>
    </cfRule>
  </conditionalFormatting>
  <conditionalFormatting sqref="Y19">
    <cfRule type="expression" priority="577" stopIfTrue="1">
      <formula>Y19=""</formula>
    </cfRule>
    <cfRule type="expression" dxfId="364" priority="578" stopIfTrue="1">
      <formula>Y19=KeyCustom2</formula>
    </cfRule>
    <cfRule type="expression" dxfId="363" priority="579" stopIfTrue="1">
      <formula>Y19=KeyCustom1</formula>
    </cfRule>
    <cfRule type="expression" dxfId="362" priority="580" stopIfTrue="1">
      <formula>Y19=KeySick</formula>
    </cfRule>
    <cfRule type="expression" dxfId="361" priority="581" stopIfTrue="1">
      <formula>Y19=KeyPersonal</formula>
    </cfRule>
    <cfRule type="expression" dxfId="360" priority="582" stopIfTrue="1">
      <formula>Y19=KeyVacation</formula>
    </cfRule>
  </conditionalFormatting>
  <conditionalFormatting sqref="Z17">
    <cfRule type="expression" priority="541" stopIfTrue="1">
      <formula>Z17=""</formula>
    </cfRule>
    <cfRule type="expression" dxfId="359" priority="542" stopIfTrue="1">
      <formula>Z17=KeyCustom2</formula>
    </cfRule>
    <cfRule type="expression" dxfId="358" priority="543" stopIfTrue="1">
      <formula>Z17=KeyCustom1</formula>
    </cfRule>
    <cfRule type="expression" dxfId="357" priority="544" stopIfTrue="1">
      <formula>Z17=KeySick</formula>
    </cfRule>
    <cfRule type="expression" dxfId="356" priority="545" stopIfTrue="1">
      <formula>Z17=KeyPersonal</formula>
    </cfRule>
    <cfRule type="expression" dxfId="355" priority="546" stopIfTrue="1">
      <formula>Z17=KeyVacation</formula>
    </cfRule>
  </conditionalFormatting>
  <conditionalFormatting sqref="Y15">
    <cfRule type="expression" priority="565" stopIfTrue="1">
      <formula>Y15=""</formula>
    </cfRule>
    <cfRule type="expression" dxfId="354" priority="566" stopIfTrue="1">
      <formula>Y15=KeyCustom2</formula>
    </cfRule>
    <cfRule type="expression" dxfId="353" priority="567" stopIfTrue="1">
      <formula>Y15=KeyCustom1</formula>
    </cfRule>
    <cfRule type="expression" dxfId="352" priority="568" stopIfTrue="1">
      <formula>Y15=KeySick</formula>
    </cfRule>
    <cfRule type="expression" dxfId="351" priority="569" stopIfTrue="1">
      <formula>Y15=KeyPersonal</formula>
    </cfRule>
    <cfRule type="expression" dxfId="350" priority="570" stopIfTrue="1">
      <formula>Y15=KeyVacation</formula>
    </cfRule>
  </conditionalFormatting>
  <conditionalFormatting sqref="X19">
    <cfRule type="expression" priority="559" stopIfTrue="1">
      <formula>X19=""</formula>
    </cfRule>
    <cfRule type="expression" dxfId="349" priority="560" stopIfTrue="1">
      <formula>X19=KeyCustom2</formula>
    </cfRule>
    <cfRule type="expression" dxfId="348" priority="561" stopIfTrue="1">
      <formula>X19=KeyCustom1</formula>
    </cfRule>
    <cfRule type="expression" dxfId="347" priority="562" stopIfTrue="1">
      <formula>X19=KeySick</formula>
    </cfRule>
    <cfRule type="expression" dxfId="346" priority="563" stopIfTrue="1">
      <formula>X19=KeyPersonal</formula>
    </cfRule>
    <cfRule type="expression" dxfId="345" priority="564" stopIfTrue="1">
      <formula>X19=KeyVacation</formula>
    </cfRule>
  </conditionalFormatting>
  <conditionalFormatting sqref="Z18:Z20">
    <cfRule type="expression" priority="553" stopIfTrue="1">
      <formula>Z18=""</formula>
    </cfRule>
    <cfRule type="expression" dxfId="344" priority="554" stopIfTrue="1">
      <formula>Z18=KeyCustom2</formula>
    </cfRule>
    <cfRule type="expression" dxfId="343" priority="555" stopIfTrue="1">
      <formula>Z18=KeyCustom1</formula>
    </cfRule>
    <cfRule type="expression" dxfId="342" priority="556" stopIfTrue="1">
      <formula>Z18=KeySick</formula>
    </cfRule>
    <cfRule type="expression" dxfId="341" priority="557" stopIfTrue="1">
      <formula>Z18=KeyPersonal</formula>
    </cfRule>
    <cfRule type="expression" dxfId="340" priority="558" stopIfTrue="1">
      <formula>Z18=KeyVacation</formula>
    </cfRule>
  </conditionalFormatting>
  <conditionalFormatting sqref="Z16">
    <cfRule type="expression" priority="547" stopIfTrue="1">
      <formula>Z16=""</formula>
    </cfRule>
    <cfRule type="expression" dxfId="339" priority="548" stopIfTrue="1">
      <formula>Z16=KeyCustom2</formula>
    </cfRule>
    <cfRule type="expression" dxfId="338" priority="549" stopIfTrue="1">
      <formula>Z16=KeyCustom1</formula>
    </cfRule>
    <cfRule type="expression" dxfId="337" priority="550" stopIfTrue="1">
      <formula>Z16=KeySick</formula>
    </cfRule>
    <cfRule type="expression" dxfId="336" priority="551" stopIfTrue="1">
      <formula>Z16=KeyPersonal</formula>
    </cfRule>
    <cfRule type="expression" dxfId="335" priority="552" stopIfTrue="1">
      <formula>Z16=KeyVacation</formula>
    </cfRule>
  </conditionalFormatting>
  <conditionalFormatting sqref="U20">
    <cfRule type="expression" priority="535" stopIfTrue="1">
      <formula>U20=""</formula>
    </cfRule>
    <cfRule type="expression" dxfId="334" priority="536" stopIfTrue="1">
      <formula>U20=KeyCustom2</formula>
    </cfRule>
    <cfRule type="expression" dxfId="333" priority="537" stopIfTrue="1">
      <formula>U20=KeyCustom1</formula>
    </cfRule>
    <cfRule type="expression" dxfId="332" priority="538" stopIfTrue="1">
      <formula>U20=KeySick</formula>
    </cfRule>
    <cfRule type="expression" dxfId="331" priority="539" stopIfTrue="1">
      <formula>U20=KeyPersonal</formula>
    </cfRule>
    <cfRule type="expression" dxfId="330" priority="540" stopIfTrue="1">
      <formula>U20=KeyVacation</formula>
    </cfRule>
  </conditionalFormatting>
  <conditionalFormatting sqref="V20">
    <cfRule type="expression" priority="529" stopIfTrue="1">
      <formula>V20=""</formula>
    </cfRule>
    <cfRule type="expression" dxfId="329" priority="530" stopIfTrue="1">
      <formula>V20=KeyCustom2</formula>
    </cfRule>
    <cfRule type="expression" dxfId="328" priority="531" stopIfTrue="1">
      <formula>V20=KeyCustom1</formula>
    </cfRule>
    <cfRule type="expression" dxfId="327" priority="532" stopIfTrue="1">
      <formula>V20=KeySick</formula>
    </cfRule>
    <cfRule type="expression" dxfId="326" priority="533" stopIfTrue="1">
      <formula>V20=KeyPersonal</formula>
    </cfRule>
    <cfRule type="expression" dxfId="325" priority="534" stopIfTrue="1">
      <formula>V20=KeyVacation</formula>
    </cfRule>
  </conditionalFormatting>
  <conditionalFormatting sqref="W20">
    <cfRule type="expression" priority="523" stopIfTrue="1">
      <formula>W20=""</formula>
    </cfRule>
    <cfRule type="expression" dxfId="324" priority="524" stopIfTrue="1">
      <formula>W20=KeyCustom2</formula>
    </cfRule>
    <cfRule type="expression" dxfId="323" priority="525" stopIfTrue="1">
      <formula>W20=KeyCustom1</formula>
    </cfRule>
    <cfRule type="expression" dxfId="322" priority="526" stopIfTrue="1">
      <formula>W20=KeySick</formula>
    </cfRule>
    <cfRule type="expression" dxfId="321" priority="527" stopIfTrue="1">
      <formula>W20=KeyPersonal</formula>
    </cfRule>
    <cfRule type="expression" dxfId="320" priority="528" stopIfTrue="1">
      <formula>W20=KeyVacation</formula>
    </cfRule>
  </conditionalFormatting>
  <conditionalFormatting sqref="X20">
    <cfRule type="expression" priority="517" stopIfTrue="1">
      <formula>X20=""</formula>
    </cfRule>
    <cfRule type="expression" dxfId="319" priority="518" stopIfTrue="1">
      <formula>X20=KeyCustom2</formula>
    </cfRule>
    <cfRule type="expression" dxfId="318" priority="519" stopIfTrue="1">
      <formula>X20=KeyCustom1</formula>
    </cfRule>
    <cfRule type="expression" dxfId="317" priority="520" stopIfTrue="1">
      <formula>X20=KeySick</formula>
    </cfRule>
    <cfRule type="expression" dxfId="316" priority="521" stopIfTrue="1">
      <formula>X20=KeyPersonal</formula>
    </cfRule>
    <cfRule type="expression" dxfId="315" priority="522" stopIfTrue="1">
      <formula>X20=KeyVacation</formula>
    </cfRule>
  </conditionalFormatting>
  <conditionalFormatting sqref="Y20">
    <cfRule type="expression" priority="511" stopIfTrue="1">
      <formula>Y20=""</formula>
    </cfRule>
    <cfRule type="expression" dxfId="314" priority="512" stopIfTrue="1">
      <formula>Y20=KeyCustom2</formula>
    </cfRule>
    <cfRule type="expression" dxfId="313" priority="513" stopIfTrue="1">
      <formula>Y20=KeyCustom1</formula>
    </cfRule>
    <cfRule type="expression" dxfId="312" priority="514" stopIfTrue="1">
      <formula>Y20=KeySick</formula>
    </cfRule>
    <cfRule type="expression" dxfId="311" priority="515" stopIfTrue="1">
      <formula>Y20=KeyPersonal</formula>
    </cfRule>
    <cfRule type="expression" dxfId="310" priority="516" stopIfTrue="1">
      <formula>Y20=KeyVacation</formula>
    </cfRule>
  </conditionalFormatting>
  <conditionalFormatting sqref="AA17">
    <cfRule type="expression" priority="493" stopIfTrue="1">
      <formula>AA17=""</formula>
    </cfRule>
    <cfRule type="expression" dxfId="309" priority="494" stopIfTrue="1">
      <formula>AA17=KeyCustom2</formula>
    </cfRule>
    <cfRule type="expression" dxfId="308" priority="495" stopIfTrue="1">
      <formula>AA17=KeyCustom1</formula>
    </cfRule>
    <cfRule type="expression" dxfId="307" priority="496" stopIfTrue="1">
      <formula>AA17=KeySick</formula>
    </cfRule>
    <cfRule type="expression" dxfId="306" priority="497" stopIfTrue="1">
      <formula>AA17=KeyPersonal</formula>
    </cfRule>
    <cfRule type="expression" dxfId="305" priority="498" stopIfTrue="1">
      <formula>AA17=KeyVacation</formula>
    </cfRule>
  </conditionalFormatting>
  <conditionalFormatting sqref="AA18:AA20">
    <cfRule type="expression" priority="505" stopIfTrue="1">
      <formula>AA18=""</formula>
    </cfRule>
    <cfRule type="expression" dxfId="304" priority="506" stopIfTrue="1">
      <formula>AA18=KeyCustom2</formula>
    </cfRule>
    <cfRule type="expression" dxfId="303" priority="507" stopIfTrue="1">
      <formula>AA18=KeyCustom1</formula>
    </cfRule>
    <cfRule type="expression" dxfId="302" priority="508" stopIfTrue="1">
      <formula>AA18=KeySick</formula>
    </cfRule>
    <cfRule type="expression" dxfId="301" priority="509" stopIfTrue="1">
      <formula>AA18=KeyPersonal</formula>
    </cfRule>
    <cfRule type="expression" dxfId="300" priority="510" stopIfTrue="1">
      <formula>AA18=KeyVacation</formula>
    </cfRule>
  </conditionalFormatting>
  <conditionalFormatting sqref="AA16">
    <cfRule type="expression" priority="499" stopIfTrue="1">
      <formula>AA16=""</formula>
    </cfRule>
    <cfRule type="expression" dxfId="299" priority="500" stopIfTrue="1">
      <formula>AA16=KeyCustom2</formula>
    </cfRule>
    <cfRule type="expression" dxfId="298" priority="501" stopIfTrue="1">
      <formula>AA16=KeyCustom1</formula>
    </cfRule>
    <cfRule type="expression" dxfId="297" priority="502" stopIfTrue="1">
      <formula>AA16=KeySick</formula>
    </cfRule>
    <cfRule type="expression" dxfId="296" priority="503" stopIfTrue="1">
      <formula>AA16=KeyPersonal</formula>
    </cfRule>
    <cfRule type="expression" dxfId="295" priority="504" stopIfTrue="1">
      <formula>AA16=KeyVacation</formula>
    </cfRule>
  </conditionalFormatting>
  <conditionalFormatting sqref="Y25">
    <cfRule type="expression" priority="487" stopIfTrue="1">
      <formula>Y25=""</formula>
    </cfRule>
    <cfRule type="expression" dxfId="294" priority="488" stopIfTrue="1">
      <formula>Y25=KeyCustom2</formula>
    </cfRule>
    <cfRule type="expression" dxfId="293" priority="489" stopIfTrue="1">
      <formula>Y25=KeyCustom1</formula>
    </cfRule>
    <cfRule type="expression" dxfId="292" priority="490" stopIfTrue="1">
      <formula>Y25=KeySick</formula>
    </cfRule>
    <cfRule type="expression" dxfId="291" priority="491" stopIfTrue="1">
      <formula>Y25=KeyPersonal</formula>
    </cfRule>
    <cfRule type="expression" dxfId="290" priority="492" stopIfTrue="1">
      <formula>Y25=KeyVacation</formula>
    </cfRule>
  </conditionalFormatting>
  <conditionalFormatting sqref="AB9:AB11 AB21 AB13:AB18 AB23:AB27">
    <cfRule type="expression" priority="481" stopIfTrue="1">
      <formula>AB9=""</formula>
    </cfRule>
    <cfRule type="expression" dxfId="289" priority="482" stopIfTrue="1">
      <formula>AB9=KeyCustom2</formula>
    </cfRule>
    <cfRule type="expression" dxfId="288" priority="483" stopIfTrue="1">
      <formula>AB9=KeyCustom1</formula>
    </cfRule>
    <cfRule type="expression" dxfId="287" priority="484" stopIfTrue="1">
      <formula>AB9=KeySick</formula>
    </cfRule>
    <cfRule type="expression" dxfId="286" priority="485" stopIfTrue="1">
      <formula>AB9=KeyPersonal</formula>
    </cfRule>
    <cfRule type="expression" dxfId="285" priority="486" stopIfTrue="1">
      <formula>AB9=KeyVacation</formula>
    </cfRule>
  </conditionalFormatting>
  <conditionalFormatting sqref="AB28">
    <cfRule type="expression" priority="475" stopIfTrue="1">
      <formula>AB28=""</formula>
    </cfRule>
    <cfRule type="expression" dxfId="284" priority="476" stopIfTrue="1">
      <formula>AB28=KeyCustom2</formula>
    </cfRule>
    <cfRule type="expression" dxfId="283" priority="477" stopIfTrue="1">
      <formula>AB28=KeyCustom1</formula>
    </cfRule>
    <cfRule type="expression" dxfId="282" priority="478" stopIfTrue="1">
      <formula>AB28=KeySick</formula>
    </cfRule>
    <cfRule type="expression" dxfId="281" priority="479" stopIfTrue="1">
      <formula>AB28=KeyPersonal</formula>
    </cfRule>
    <cfRule type="expression" dxfId="280" priority="480" stopIfTrue="1">
      <formula>AB28=KeyVacation</formula>
    </cfRule>
  </conditionalFormatting>
  <conditionalFormatting sqref="AB12">
    <cfRule type="expression" priority="469" stopIfTrue="1">
      <formula>AB12=""</formula>
    </cfRule>
    <cfRule type="expression" dxfId="279" priority="470" stopIfTrue="1">
      <formula>AB12=KeyCustom2</formula>
    </cfRule>
    <cfRule type="expression" dxfId="278" priority="471" stopIfTrue="1">
      <formula>AB12=KeyCustom1</formula>
    </cfRule>
    <cfRule type="expression" dxfId="277" priority="472" stopIfTrue="1">
      <formula>AB12=KeySick</formula>
    </cfRule>
    <cfRule type="expression" dxfId="276" priority="473" stopIfTrue="1">
      <formula>AB12=KeyPersonal</formula>
    </cfRule>
    <cfRule type="expression" dxfId="275" priority="474" stopIfTrue="1">
      <formula>AB12=KeyVacation</formula>
    </cfRule>
  </conditionalFormatting>
  <conditionalFormatting sqref="AB19">
    <cfRule type="expression" priority="463" stopIfTrue="1">
      <formula>AB19=""</formula>
    </cfRule>
    <cfRule type="expression" dxfId="274" priority="464" stopIfTrue="1">
      <formula>AB19=KeyCustom2</formula>
    </cfRule>
    <cfRule type="expression" dxfId="273" priority="465" stopIfTrue="1">
      <formula>AB19=KeyCustom1</formula>
    </cfRule>
    <cfRule type="expression" dxfId="272" priority="466" stopIfTrue="1">
      <formula>AB19=KeySick</formula>
    </cfRule>
    <cfRule type="expression" dxfId="271" priority="467" stopIfTrue="1">
      <formula>AB19=KeyPersonal</formula>
    </cfRule>
    <cfRule type="expression" dxfId="270" priority="468" stopIfTrue="1">
      <formula>AB19=KeyVacation</formula>
    </cfRule>
  </conditionalFormatting>
  <conditionalFormatting sqref="AB20">
    <cfRule type="expression" priority="457" stopIfTrue="1">
      <formula>AB20=""</formula>
    </cfRule>
    <cfRule type="expression" dxfId="269" priority="458" stopIfTrue="1">
      <formula>AB20=KeyCustom2</formula>
    </cfRule>
    <cfRule type="expression" dxfId="268" priority="459" stopIfTrue="1">
      <formula>AB20=KeyCustom1</formula>
    </cfRule>
    <cfRule type="expression" dxfId="267" priority="460" stopIfTrue="1">
      <formula>AB20=KeySick</formula>
    </cfRule>
    <cfRule type="expression" dxfId="266" priority="461" stopIfTrue="1">
      <formula>AB20=KeyPersonal</formula>
    </cfRule>
    <cfRule type="expression" dxfId="265" priority="462" stopIfTrue="1">
      <formula>AB20=KeyVacation</formula>
    </cfRule>
  </conditionalFormatting>
  <conditionalFormatting sqref="AI9:AI28">
    <cfRule type="dataBar" priority="1472">
      <dataBar>
        <cfvo type="min"/>
        <cfvo type="formula" val="DATEDIF(DATE(CalendarYear,2,1),DATE(CalendarYear,3,1),&quot;d&quot;)"/>
        <color theme="2" tint="-0.249977111117893"/>
      </dataBar>
      <extLst>
        <ext xmlns:x14="http://schemas.microsoft.com/office/spreadsheetml/2009/9/main" uri="{B025F937-C7B1-47D3-B67F-A62EFF666E3E}">
          <x14:id>{B3B8D853-79D2-4E97-A835-44DD3B76FD46}</x14:id>
        </ext>
      </extLst>
    </cfRule>
  </conditionalFormatting>
  <conditionalFormatting sqref="J22">
    <cfRule type="expression" priority="313" stopIfTrue="1">
      <formula>J22=""</formula>
    </cfRule>
    <cfRule type="expression" dxfId="264" priority="314" stopIfTrue="1">
      <formula>J22=KeyCustom2</formula>
    </cfRule>
    <cfRule type="expression" dxfId="263" priority="315" stopIfTrue="1">
      <formula>J22=KeyCustom1</formula>
    </cfRule>
    <cfRule type="expression" dxfId="262" priority="316" stopIfTrue="1">
      <formula>J22=KeySick</formula>
    </cfRule>
    <cfRule type="expression" dxfId="261" priority="317" stopIfTrue="1">
      <formula>J22=KeyPersonal</formula>
    </cfRule>
    <cfRule type="expression" dxfId="260" priority="318" stopIfTrue="1">
      <formula>J22=KeyVacation</formula>
    </cfRule>
  </conditionalFormatting>
  <conditionalFormatting sqref="D22">
    <cfRule type="expression" priority="307" stopIfTrue="1">
      <formula>D22=""</formula>
    </cfRule>
    <cfRule type="expression" dxfId="259" priority="308" stopIfTrue="1">
      <formula>D22=KeyCustom2</formula>
    </cfRule>
    <cfRule type="expression" dxfId="258" priority="309" stopIfTrue="1">
      <formula>D22=KeyCustom1</formula>
    </cfRule>
    <cfRule type="expression" dxfId="257" priority="310" stopIfTrue="1">
      <formula>D22=KeySick</formula>
    </cfRule>
    <cfRule type="expression" dxfId="256" priority="311" stopIfTrue="1">
      <formula>D22=KeyPersonal</formula>
    </cfRule>
    <cfRule type="expression" dxfId="255" priority="312" stopIfTrue="1">
      <formula>D22=KeyVacation</formula>
    </cfRule>
  </conditionalFormatting>
  <conditionalFormatting sqref="F22">
    <cfRule type="expression" priority="301" stopIfTrue="1">
      <formula>F22=""</formula>
    </cfRule>
    <cfRule type="expression" dxfId="254" priority="302" stopIfTrue="1">
      <formula>F22=KeyCustom2</formula>
    </cfRule>
    <cfRule type="expression" dxfId="253" priority="303" stopIfTrue="1">
      <formula>F22=KeyCustom1</formula>
    </cfRule>
    <cfRule type="expression" dxfId="252" priority="304" stopIfTrue="1">
      <formula>F22=KeySick</formula>
    </cfRule>
    <cfRule type="expression" dxfId="251" priority="305" stopIfTrue="1">
      <formula>F22=KeyPersonal</formula>
    </cfRule>
    <cfRule type="expression" dxfId="250" priority="306" stopIfTrue="1">
      <formula>F22=KeyVacation</formula>
    </cfRule>
  </conditionalFormatting>
  <conditionalFormatting sqref="E22">
    <cfRule type="expression" priority="295" stopIfTrue="1">
      <formula>E22=""</formula>
    </cfRule>
    <cfRule type="expression" dxfId="249" priority="296" stopIfTrue="1">
      <formula>E22=KeyCustom2</formula>
    </cfRule>
    <cfRule type="expression" dxfId="248" priority="297" stopIfTrue="1">
      <formula>E22=KeyCustom1</formula>
    </cfRule>
    <cfRule type="expression" dxfId="247" priority="298" stopIfTrue="1">
      <formula>E22=KeySick</formula>
    </cfRule>
    <cfRule type="expression" dxfId="246" priority="299" stopIfTrue="1">
      <formula>E22=KeyPersonal</formula>
    </cfRule>
    <cfRule type="expression" dxfId="245" priority="300" stopIfTrue="1">
      <formula>E22=KeyVacation</formula>
    </cfRule>
  </conditionalFormatting>
  <conditionalFormatting sqref="S22">
    <cfRule type="expression" priority="277" stopIfTrue="1">
      <formula>S22=""</formula>
    </cfRule>
    <cfRule type="expression" dxfId="244" priority="278" stopIfTrue="1">
      <formula>S22=KeyCustom2</formula>
    </cfRule>
    <cfRule type="expression" dxfId="243" priority="279" stopIfTrue="1">
      <formula>S22=KeyCustom1</formula>
    </cfRule>
    <cfRule type="expression" dxfId="242" priority="280" stopIfTrue="1">
      <formula>S22=KeySick</formula>
    </cfRule>
    <cfRule type="expression" dxfId="241" priority="281" stopIfTrue="1">
      <formula>S22=KeyPersonal</formula>
    </cfRule>
    <cfRule type="expression" dxfId="240" priority="282" stopIfTrue="1">
      <formula>S22=KeyVacation</formula>
    </cfRule>
  </conditionalFormatting>
  <conditionalFormatting sqref="T22">
    <cfRule type="expression" priority="271" stopIfTrue="1">
      <formula>T22=""</formula>
    </cfRule>
    <cfRule type="expression" dxfId="239" priority="272" stopIfTrue="1">
      <formula>T22=KeyCustom2</formula>
    </cfRule>
    <cfRule type="expression" dxfId="238" priority="273" stopIfTrue="1">
      <formula>T22=KeyCustom1</formula>
    </cfRule>
    <cfRule type="expression" dxfId="237" priority="274" stopIfTrue="1">
      <formula>T22=KeySick</formula>
    </cfRule>
    <cfRule type="expression" dxfId="236" priority="275" stopIfTrue="1">
      <formula>T22=KeyPersonal</formula>
    </cfRule>
    <cfRule type="expression" dxfId="235" priority="276" stopIfTrue="1">
      <formula>T22=KeyVacation</formula>
    </cfRule>
  </conditionalFormatting>
  <conditionalFormatting sqref="L22">
    <cfRule type="expression" priority="289" stopIfTrue="1">
      <formula>L22=""</formula>
    </cfRule>
    <cfRule type="expression" dxfId="234" priority="290" stopIfTrue="1">
      <formula>L22=KeyCustom2</formula>
    </cfRule>
    <cfRule type="expression" dxfId="233" priority="291" stopIfTrue="1">
      <formula>L22=KeyCustom1</formula>
    </cfRule>
    <cfRule type="expression" dxfId="232" priority="292" stopIfTrue="1">
      <formula>L22=KeySick</formula>
    </cfRule>
    <cfRule type="expression" dxfId="231" priority="293" stopIfTrue="1">
      <formula>L22=KeyPersonal</formula>
    </cfRule>
    <cfRule type="expression" dxfId="230" priority="294" stopIfTrue="1">
      <formula>L22=KeyVacation</formula>
    </cfRule>
  </conditionalFormatting>
  <conditionalFormatting sqref="M22">
    <cfRule type="expression" priority="283" stopIfTrue="1">
      <formula>M22=""</formula>
    </cfRule>
    <cfRule type="expression" dxfId="229" priority="284" stopIfTrue="1">
      <formula>M22=KeyCustom2</formula>
    </cfRule>
    <cfRule type="expression" dxfId="228" priority="285" stopIfTrue="1">
      <formula>M22=KeyCustom1</formula>
    </cfRule>
    <cfRule type="expression" dxfId="227" priority="286" stopIfTrue="1">
      <formula>M22=KeySick</formula>
    </cfRule>
    <cfRule type="expression" dxfId="226" priority="287" stopIfTrue="1">
      <formula>M22=KeyPersonal</formula>
    </cfRule>
    <cfRule type="expression" dxfId="225" priority="288" stopIfTrue="1">
      <formula>M22=KeyVacation</formula>
    </cfRule>
  </conditionalFormatting>
  <conditionalFormatting sqref="Z22">
    <cfRule type="expression" priority="265" stopIfTrue="1">
      <formula>Z22=""</formula>
    </cfRule>
    <cfRule type="expression" dxfId="224" priority="266" stopIfTrue="1">
      <formula>Z22=KeyCustom2</formula>
    </cfRule>
    <cfRule type="expression" dxfId="223" priority="267" stopIfTrue="1">
      <formula>Z22=KeyCustom1</formula>
    </cfRule>
    <cfRule type="expression" dxfId="222" priority="268" stopIfTrue="1">
      <formula>Z22=KeySick</formula>
    </cfRule>
    <cfRule type="expression" dxfId="221" priority="269" stopIfTrue="1">
      <formula>Z22=KeyPersonal</formula>
    </cfRule>
    <cfRule type="expression" dxfId="220" priority="270" stopIfTrue="1">
      <formula>Z22=KeyVacation</formula>
    </cfRule>
  </conditionalFormatting>
  <conditionalFormatting sqref="AA22">
    <cfRule type="expression" priority="259" stopIfTrue="1">
      <formula>AA22=""</formula>
    </cfRule>
    <cfRule type="expression" dxfId="219" priority="260" stopIfTrue="1">
      <formula>AA22=KeyCustom2</formula>
    </cfRule>
    <cfRule type="expression" dxfId="218" priority="261" stopIfTrue="1">
      <formula>AA22=KeyCustom1</formula>
    </cfRule>
    <cfRule type="expression" dxfId="217" priority="262" stopIfTrue="1">
      <formula>AA22=KeySick</formula>
    </cfRule>
    <cfRule type="expression" dxfId="216" priority="263" stopIfTrue="1">
      <formula>AA22=KeyPersonal</formula>
    </cfRule>
    <cfRule type="expression" dxfId="215" priority="264" stopIfTrue="1">
      <formula>AA22=KeyVacation</formula>
    </cfRule>
  </conditionalFormatting>
  <conditionalFormatting sqref="P22">
    <cfRule type="expression" priority="217" stopIfTrue="1">
      <formula>P22=""</formula>
    </cfRule>
    <cfRule type="expression" dxfId="214" priority="218" stopIfTrue="1">
      <formula>P22=KeyCustom2</formula>
    </cfRule>
    <cfRule type="expression" dxfId="213" priority="219" stopIfTrue="1">
      <formula>P22=KeyCustom1</formula>
    </cfRule>
    <cfRule type="expression" dxfId="212" priority="220" stopIfTrue="1">
      <formula>P22=KeySick</formula>
    </cfRule>
    <cfRule type="expression" dxfId="211" priority="221" stopIfTrue="1">
      <formula>P22=KeyPersonal</formula>
    </cfRule>
    <cfRule type="expression" dxfId="210" priority="222" stopIfTrue="1">
      <formula>P22=KeyVacation</formula>
    </cfRule>
  </conditionalFormatting>
  <conditionalFormatting sqref="G22">
    <cfRule type="expression" priority="253" stopIfTrue="1">
      <formula>G22=""</formula>
    </cfRule>
    <cfRule type="expression" dxfId="209" priority="254" stopIfTrue="1">
      <formula>G22=KeyCustom2</formula>
    </cfRule>
    <cfRule type="expression" dxfId="208" priority="255" stopIfTrue="1">
      <formula>G22=KeyCustom1</formula>
    </cfRule>
    <cfRule type="expression" dxfId="207" priority="256" stopIfTrue="1">
      <formula>G22=KeySick</formula>
    </cfRule>
    <cfRule type="expression" dxfId="206" priority="257" stopIfTrue="1">
      <formula>G22=KeyPersonal</formula>
    </cfRule>
    <cfRule type="expression" dxfId="205" priority="258" stopIfTrue="1">
      <formula>G22=KeyVacation</formula>
    </cfRule>
  </conditionalFormatting>
  <conditionalFormatting sqref="H22">
    <cfRule type="expression" priority="247" stopIfTrue="1">
      <formula>H22=""</formula>
    </cfRule>
    <cfRule type="expression" dxfId="204" priority="248" stopIfTrue="1">
      <formula>H22=KeyCustom2</formula>
    </cfRule>
    <cfRule type="expression" dxfId="203" priority="249" stopIfTrue="1">
      <formula>H22=KeyCustom1</formula>
    </cfRule>
    <cfRule type="expression" dxfId="202" priority="250" stopIfTrue="1">
      <formula>H22=KeySick</formula>
    </cfRule>
    <cfRule type="expression" dxfId="201" priority="251" stopIfTrue="1">
      <formula>H22=KeyPersonal</formula>
    </cfRule>
    <cfRule type="expression" dxfId="200" priority="252" stopIfTrue="1">
      <formula>H22=KeyVacation</formula>
    </cfRule>
  </conditionalFormatting>
  <conditionalFormatting sqref="I22">
    <cfRule type="expression" priority="241" stopIfTrue="1">
      <formula>I22=""</formula>
    </cfRule>
    <cfRule type="expression" dxfId="199" priority="242" stopIfTrue="1">
      <formula>I22=KeyCustom2</formula>
    </cfRule>
    <cfRule type="expression" dxfId="198" priority="243" stopIfTrue="1">
      <formula>I22=KeyCustom1</formula>
    </cfRule>
    <cfRule type="expression" dxfId="197" priority="244" stopIfTrue="1">
      <formula>I22=KeySick</formula>
    </cfRule>
    <cfRule type="expression" dxfId="196" priority="245" stopIfTrue="1">
      <formula>I22=KeyPersonal</formula>
    </cfRule>
    <cfRule type="expression" dxfId="195" priority="246" stopIfTrue="1">
      <formula>I22=KeyVacation</formula>
    </cfRule>
  </conditionalFormatting>
  <conditionalFormatting sqref="K22">
    <cfRule type="expression" priority="235" stopIfTrue="1">
      <formula>K22=""</formula>
    </cfRule>
    <cfRule type="expression" dxfId="194" priority="236" stopIfTrue="1">
      <formula>K22=KeyCustom2</formula>
    </cfRule>
    <cfRule type="expression" dxfId="193" priority="237" stopIfTrue="1">
      <formula>K22=KeyCustom1</formula>
    </cfRule>
    <cfRule type="expression" dxfId="192" priority="238" stopIfTrue="1">
      <formula>K22=KeySick</formula>
    </cfRule>
    <cfRule type="expression" dxfId="191" priority="239" stopIfTrue="1">
      <formula>K22=KeyPersonal</formula>
    </cfRule>
    <cfRule type="expression" dxfId="190" priority="240" stopIfTrue="1">
      <formula>K22=KeyVacation</formula>
    </cfRule>
  </conditionalFormatting>
  <conditionalFormatting sqref="N22">
    <cfRule type="expression" priority="229" stopIfTrue="1">
      <formula>N22=""</formula>
    </cfRule>
    <cfRule type="expression" dxfId="189" priority="230" stopIfTrue="1">
      <formula>N22=KeyCustom2</formula>
    </cfRule>
    <cfRule type="expression" dxfId="188" priority="231" stopIfTrue="1">
      <formula>N22=KeyCustom1</formula>
    </cfRule>
    <cfRule type="expression" dxfId="187" priority="232" stopIfTrue="1">
      <formula>N22=KeySick</formula>
    </cfRule>
    <cfRule type="expression" dxfId="186" priority="233" stopIfTrue="1">
      <formula>N22=KeyPersonal</formula>
    </cfRule>
    <cfRule type="expression" dxfId="185" priority="234" stopIfTrue="1">
      <formula>N22=KeyVacation</formula>
    </cfRule>
  </conditionalFormatting>
  <conditionalFormatting sqref="O22">
    <cfRule type="expression" priority="223" stopIfTrue="1">
      <formula>O22=""</formula>
    </cfRule>
    <cfRule type="expression" dxfId="184" priority="224" stopIfTrue="1">
      <formula>O22=KeyCustom2</formula>
    </cfRule>
    <cfRule type="expression" dxfId="183" priority="225" stopIfTrue="1">
      <formula>O22=KeyCustom1</formula>
    </cfRule>
    <cfRule type="expression" dxfId="182" priority="226" stopIfTrue="1">
      <formula>O22=KeySick</formula>
    </cfRule>
    <cfRule type="expression" dxfId="181" priority="227" stopIfTrue="1">
      <formula>O22=KeyPersonal</formula>
    </cfRule>
    <cfRule type="expression" dxfId="180" priority="228" stopIfTrue="1">
      <formula>O22=KeyVacation</formula>
    </cfRule>
  </conditionalFormatting>
  <conditionalFormatting sqref="Q22">
    <cfRule type="expression" priority="211" stopIfTrue="1">
      <formula>Q22=""</formula>
    </cfRule>
    <cfRule type="expression" dxfId="179" priority="212" stopIfTrue="1">
      <formula>Q22=KeyCustom2</formula>
    </cfRule>
    <cfRule type="expression" dxfId="178" priority="213" stopIfTrue="1">
      <formula>Q22=KeyCustom1</formula>
    </cfRule>
    <cfRule type="expression" dxfId="177" priority="214" stopIfTrue="1">
      <formula>Q22=KeySick</formula>
    </cfRule>
    <cfRule type="expression" dxfId="176" priority="215" stopIfTrue="1">
      <formula>Q22=KeyPersonal</formula>
    </cfRule>
    <cfRule type="expression" dxfId="175" priority="216" stopIfTrue="1">
      <formula>Q22=KeyVacation</formula>
    </cfRule>
  </conditionalFormatting>
  <conditionalFormatting sqref="R22">
    <cfRule type="expression" priority="205" stopIfTrue="1">
      <formula>R22=""</formula>
    </cfRule>
    <cfRule type="expression" dxfId="174" priority="206" stopIfTrue="1">
      <formula>R22=KeyCustom2</formula>
    </cfRule>
    <cfRule type="expression" dxfId="173" priority="207" stopIfTrue="1">
      <formula>R22=KeyCustom1</formula>
    </cfRule>
    <cfRule type="expression" dxfId="172" priority="208" stopIfTrue="1">
      <formula>R22=KeySick</formula>
    </cfRule>
    <cfRule type="expression" dxfId="171" priority="209" stopIfTrue="1">
      <formula>R22=KeyPersonal</formula>
    </cfRule>
    <cfRule type="expression" dxfId="170" priority="210" stopIfTrue="1">
      <formula>R22=KeyVacation</formula>
    </cfRule>
  </conditionalFormatting>
  <conditionalFormatting sqref="U22">
    <cfRule type="expression" priority="199" stopIfTrue="1">
      <formula>U22=""</formula>
    </cfRule>
    <cfRule type="expression" dxfId="169" priority="200" stopIfTrue="1">
      <formula>U22=KeyCustom2</formula>
    </cfRule>
    <cfRule type="expression" dxfId="168" priority="201" stopIfTrue="1">
      <formula>U22=KeyCustom1</formula>
    </cfRule>
    <cfRule type="expression" dxfId="167" priority="202" stopIfTrue="1">
      <formula>U22=KeySick</formula>
    </cfRule>
    <cfRule type="expression" dxfId="166" priority="203" stopIfTrue="1">
      <formula>U22=KeyPersonal</formula>
    </cfRule>
    <cfRule type="expression" dxfId="165" priority="204" stopIfTrue="1">
      <formula>U22=KeyVacation</formula>
    </cfRule>
  </conditionalFormatting>
  <conditionalFormatting sqref="V22">
    <cfRule type="expression" priority="193" stopIfTrue="1">
      <formula>V22=""</formula>
    </cfRule>
    <cfRule type="expression" dxfId="164" priority="194" stopIfTrue="1">
      <formula>V22=KeyCustom2</formula>
    </cfRule>
    <cfRule type="expression" dxfId="163" priority="195" stopIfTrue="1">
      <formula>V22=KeyCustom1</formula>
    </cfRule>
    <cfRule type="expression" dxfId="162" priority="196" stopIfTrue="1">
      <formula>V22=KeySick</formula>
    </cfRule>
    <cfRule type="expression" dxfId="161" priority="197" stopIfTrue="1">
      <formula>V22=KeyPersonal</formula>
    </cfRule>
    <cfRule type="expression" dxfId="160" priority="198" stopIfTrue="1">
      <formula>V22=KeyVacation</formula>
    </cfRule>
  </conditionalFormatting>
  <conditionalFormatting sqref="W22">
    <cfRule type="expression" priority="187" stopIfTrue="1">
      <formula>W22=""</formula>
    </cfRule>
    <cfRule type="expression" dxfId="159" priority="188" stopIfTrue="1">
      <formula>W22=KeyCustom2</formula>
    </cfRule>
    <cfRule type="expression" dxfId="158" priority="189" stopIfTrue="1">
      <formula>W22=KeyCustom1</formula>
    </cfRule>
    <cfRule type="expression" dxfId="157" priority="190" stopIfTrue="1">
      <formula>W22=KeySick</formula>
    </cfRule>
    <cfRule type="expression" dxfId="156" priority="191" stopIfTrue="1">
      <formula>W22=KeyPersonal</formula>
    </cfRule>
    <cfRule type="expression" dxfId="155" priority="192" stopIfTrue="1">
      <formula>W22=KeyVacation</formula>
    </cfRule>
  </conditionalFormatting>
  <conditionalFormatting sqref="X22">
    <cfRule type="expression" priority="181" stopIfTrue="1">
      <formula>X22=""</formula>
    </cfRule>
    <cfRule type="expression" dxfId="154" priority="182" stopIfTrue="1">
      <formula>X22=KeyCustom2</formula>
    </cfRule>
    <cfRule type="expression" dxfId="153" priority="183" stopIfTrue="1">
      <formula>X22=KeyCustom1</formula>
    </cfRule>
    <cfRule type="expression" dxfId="152" priority="184" stopIfTrue="1">
      <formula>X22=KeySick</formula>
    </cfRule>
    <cfRule type="expression" dxfId="151" priority="185" stopIfTrue="1">
      <formula>X22=KeyPersonal</formula>
    </cfRule>
    <cfRule type="expression" dxfId="150" priority="186" stopIfTrue="1">
      <formula>X22=KeyVacation</formula>
    </cfRule>
  </conditionalFormatting>
  <conditionalFormatting sqref="Y22">
    <cfRule type="expression" priority="175" stopIfTrue="1">
      <formula>Y22=""</formula>
    </cfRule>
    <cfRule type="expression" dxfId="149" priority="176" stopIfTrue="1">
      <formula>Y22=KeyCustom2</formula>
    </cfRule>
    <cfRule type="expression" dxfId="148" priority="177" stopIfTrue="1">
      <formula>Y22=KeyCustom1</formula>
    </cfRule>
    <cfRule type="expression" dxfId="147" priority="178" stopIfTrue="1">
      <formula>Y22=KeySick</formula>
    </cfRule>
    <cfRule type="expression" dxfId="146" priority="179" stopIfTrue="1">
      <formula>Y22=KeyPersonal</formula>
    </cfRule>
    <cfRule type="expression" dxfId="145" priority="180" stopIfTrue="1">
      <formula>Y22=KeyVacation</formula>
    </cfRule>
  </conditionalFormatting>
  <conditionalFormatting sqref="AB22">
    <cfRule type="expression" priority="169" stopIfTrue="1">
      <formula>AB22=""</formula>
    </cfRule>
    <cfRule type="expression" dxfId="144" priority="170" stopIfTrue="1">
      <formula>AB22=KeyCustom2</formula>
    </cfRule>
    <cfRule type="expression" dxfId="143" priority="171" stopIfTrue="1">
      <formula>AB22=KeyCustom1</formula>
    </cfRule>
    <cfRule type="expression" dxfId="142" priority="172" stopIfTrue="1">
      <formula>AB22=KeySick</formula>
    </cfRule>
    <cfRule type="expression" dxfId="141" priority="173" stopIfTrue="1">
      <formula>AB22=KeyPersonal</formula>
    </cfRule>
    <cfRule type="expression" dxfId="140" priority="174" stopIfTrue="1">
      <formula>AB22=KeyVacation</formula>
    </cfRule>
  </conditionalFormatting>
  <conditionalFormatting sqref="AC9:AC11 AC21 AC13:AC18 AC23:AC27">
    <cfRule type="expression" priority="163" stopIfTrue="1">
      <formula>AC9=""</formula>
    </cfRule>
    <cfRule type="expression" dxfId="139" priority="164" stopIfTrue="1">
      <formula>AC9=KeyCustom2</formula>
    </cfRule>
    <cfRule type="expression" dxfId="138" priority="165" stopIfTrue="1">
      <formula>AC9=KeyCustom1</formula>
    </cfRule>
    <cfRule type="expression" dxfId="137" priority="166" stopIfTrue="1">
      <formula>AC9=KeySick</formula>
    </cfRule>
    <cfRule type="expression" dxfId="136" priority="167" stopIfTrue="1">
      <formula>AC9=KeyPersonal</formula>
    </cfRule>
    <cfRule type="expression" dxfId="135" priority="168" stopIfTrue="1">
      <formula>AC9=KeyVacation</formula>
    </cfRule>
  </conditionalFormatting>
  <conditionalFormatting sqref="AC28">
    <cfRule type="expression" priority="157" stopIfTrue="1">
      <formula>AC28=""</formula>
    </cfRule>
    <cfRule type="expression" dxfId="134" priority="158" stopIfTrue="1">
      <formula>AC28=KeyCustom2</formula>
    </cfRule>
    <cfRule type="expression" dxfId="133" priority="159" stopIfTrue="1">
      <formula>AC28=KeyCustom1</formula>
    </cfRule>
    <cfRule type="expression" dxfId="132" priority="160" stopIfTrue="1">
      <formula>AC28=KeySick</formula>
    </cfRule>
    <cfRule type="expression" dxfId="131" priority="161" stopIfTrue="1">
      <formula>AC28=KeyPersonal</formula>
    </cfRule>
    <cfRule type="expression" dxfId="130" priority="162" stopIfTrue="1">
      <formula>AC28=KeyVacation</formula>
    </cfRule>
  </conditionalFormatting>
  <conditionalFormatting sqref="AC12">
    <cfRule type="expression" priority="151" stopIfTrue="1">
      <formula>AC12=""</formula>
    </cfRule>
    <cfRule type="expression" dxfId="129" priority="152" stopIfTrue="1">
      <formula>AC12=KeyCustom2</formula>
    </cfRule>
    <cfRule type="expression" dxfId="128" priority="153" stopIfTrue="1">
      <formula>AC12=KeyCustom1</formula>
    </cfRule>
    <cfRule type="expression" dxfId="127" priority="154" stopIfTrue="1">
      <formula>AC12=KeySick</formula>
    </cfRule>
    <cfRule type="expression" dxfId="126" priority="155" stopIfTrue="1">
      <formula>AC12=KeyPersonal</formula>
    </cfRule>
    <cfRule type="expression" dxfId="125" priority="156" stopIfTrue="1">
      <formula>AC12=KeyVacation</formula>
    </cfRule>
  </conditionalFormatting>
  <conditionalFormatting sqref="AC19">
    <cfRule type="expression" priority="145" stopIfTrue="1">
      <formula>AC19=""</formula>
    </cfRule>
    <cfRule type="expression" dxfId="124" priority="146" stopIfTrue="1">
      <formula>AC19=KeyCustom2</formula>
    </cfRule>
    <cfRule type="expression" dxfId="123" priority="147" stopIfTrue="1">
      <formula>AC19=KeyCustom1</formula>
    </cfRule>
    <cfRule type="expression" dxfId="122" priority="148" stopIfTrue="1">
      <formula>AC19=KeySick</formula>
    </cfRule>
    <cfRule type="expression" dxfId="121" priority="149" stopIfTrue="1">
      <formula>AC19=KeyPersonal</formula>
    </cfRule>
    <cfRule type="expression" dxfId="120" priority="150" stopIfTrue="1">
      <formula>AC19=KeyVacation</formula>
    </cfRule>
  </conditionalFormatting>
  <conditionalFormatting sqref="AC20">
    <cfRule type="expression" priority="139" stopIfTrue="1">
      <formula>AC20=""</formula>
    </cfRule>
    <cfRule type="expression" dxfId="119" priority="140" stopIfTrue="1">
      <formula>AC20=KeyCustom2</formula>
    </cfRule>
    <cfRule type="expression" dxfId="118" priority="141" stopIfTrue="1">
      <formula>AC20=KeyCustom1</formula>
    </cfRule>
    <cfRule type="expression" dxfId="117" priority="142" stopIfTrue="1">
      <formula>AC20=KeySick</formula>
    </cfRule>
    <cfRule type="expression" dxfId="116" priority="143" stopIfTrue="1">
      <formula>AC20=KeyPersonal</formula>
    </cfRule>
    <cfRule type="expression" dxfId="115" priority="144" stopIfTrue="1">
      <formula>AC20=KeyVacation</formula>
    </cfRule>
  </conditionalFormatting>
  <conditionalFormatting sqref="AC22">
    <cfRule type="expression" priority="133" stopIfTrue="1">
      <formula>AC22=""</formula>
    </cfRule>
    <cfRule type="expression" dxfId="114" priority="134" stopIfTrue="1">
      <formula>AC22=KeyCustom2</formula>
    </cfRule>
    <cfRule type="expression" dxfId="113" priority="135" stopIfTrue="1">
      <formula>AC22=KeyCustom1</formula>
    </cfRule>
    <cfRule type="expression" dxfId="112" priority="136" stopIfTrue="1">
      <formula>AC22=KeySick</formula>
    </cfRule>
    <cfRule type="expression" dxfId="111" priority="137" stopIfTrue="1">
      <formula>AC22=KeyPersonal</formula>
    </cfRule>
    <cfRule type="expression" dxfId="110" priority="138" stopIfTrue="1">
      <formula>AC22=KeyVacation</formula>
    </cfRule>
  </conditionalFormatting>
  <conditionalFormatting sqref="AD9:AD11 AD21 AD13:AD18 AD23:AD27">
    <cfRule type="expression" priority="127" stopIfTrue="1">
      <formula>AD9=""</formula>
    </cfRule>
    <cfRule type="expression" dxfId="109" priority="128" stopIfTrue="1">
      <formula>AD9=KeyCustom2</formula>
    </cfRule>
    <cfRule type="expression" dxfId="108" priority="129" stopIfTrue="1">
      <formula>AD9=KeyCustom1</formula>
    </cfRule>
    <cfRule type="expression" dxfId="107" priority="130" stopIfTrue="1">
      <formula>AD9=KeySick</formula>
    </cfRule>
    <cfRule type="expression" dxfId="106" priority="131" stopIfTrue="1">
      <formula>AD9=KeyPersonal</formula>
    </cfRule>
    <cfRule type="expression" dxfId="105" priority="132" stopIfTrue="1">
      <formula>AD9=KeyVacation</formula>
    </cfRule>
  </conditionalFormatting>
  <conditionalFormatting sqref="AD28">
    <cfRule type="expression" priority="121" stopIfTrue="1">
      <formula>AD28=""</formula>
    </cfRule>
    <cfRule type="expression" dxfId="104" priority="122" stopIfTrue="1">
      <formula>AD28=KeyCustom2</formula>
    </cfRule>
    <cfRule type="expression" dxfId="103" priority="123" stopIfTrue="1">
      <formula>AD28=KeyCustom1</formula>
    </cfRule>
    <cfRule type="expression" dxfId="102" priority="124" stopIfTrue="1">
      <formula>AD28=KeySick</formula>
    </cfRule>
    <cfRule type="expression" dxfId="101" priority="125" stopIfTrue="1">
      <formula>AD28=KeyPersonal</formula>
    </cfRule>
    <cfRule type="expression" dxfId="100" priority="126" stopIfTrue="1">
      <formula>AD28=KeyVacation</formula>
    </cfRule>
  </conditionalFormatting>
  <conditionalFormatting sqref="AD12">
    <cfRule type="expression" priority="115" stopIfTrue="1">
      <formula>AD12=""</formula>
    </cfRule>
    <cfRule type="expression" dxfId="99" priority="116" stopIfTrue="1">
      <formula>AD12=KeyCustom2</formula>
    </cfRule>
    <cfRule type="expression" dxfId="98" priority="117" stopIfTrue="1">
      <formula>AD12=KeyCustom1</formula>
    </cfRule>
    <cfRule type="expression" dxfId="97" priority="118" stopIfTrue="1">
      <formula>AD12=KeySick</formula>
    </cfRule>
    <cfRule type="expression" dxfId="96" priority="119" stopIfTrue="1">
      <formula>AD12=KeyPersonal</formula>
    </cfRule>
    <cfRule type="expression" dxfId="95" priority="120" stopIfTrue="1">
      <formula>AD12=KeyVacation</formula>
    </cfRule>
  </conditionalFormatting>
  <conditionalFormatting sqref="AD19">
    <cfRule type="expression" priority="109" stopIfTrue="1">
      <formula>AD19=""</formula>
    </cfRule>
    <cfRule type="expression" dxfId="94" priority="110" stopIfTrue="1">
      <formula>AD19=KeyCustom2</formula>
    </cfRule>
    <cfRule type="expression" dxfId="93" priority="111" stopIfTrue="1">
      <formula>AD19=KeyCustom1</formula>
    </cfRule>
    <cfRule type="expression" dxfId="92" priority="112" stopIfTrue="1">
      <formula>AD19=KeySick</formula>
    </cfRule>
    <cfRule type="expression" dxfId="91" priority="113" stopIfTrue="1">
      <formula>AD19=KeyPersonal</formula>
    </cfRule>
    <cfRule type="expression" dxfId="90" priority="114" stopIfTrue="1">
      <formula>AD19=KeyVacation</formula>
    </cfRule>
  </conditionalFormatting>
  <conditionalFormatting sqref="AD20">
    <cfRule type="expression" priority="103" stopIfTrue="1">
      <formula>AD20=""</formula>
    </cfRule>
    <cfRule type="expression" dxfId="89" priority="104" stopIfTrue="1">
      <formula>AD20=KeyCustom2</formula>
    </cfRule>
    <cfRule type="expression" dxfId="88" priority="105" stopIfTrue="1">
      <formula>AD20=KeyCustom1</formula>
    </cfRule>
    <cfRule type="expression" dxfId="87" priority="106" stopIfTrue="1">
      <formula>AD20=KeySick</formula>
    </cfRule>
    <cfRule type="expression" dxfId="86" priority="107" stopIfTrue="1">
      <formula>AD20=KeyPersonal</formula>
    </cfRule>
    <cfRule type="expression" dxfId="85" priority="108" stopIfTrue="1">
      <formula>AD20=KeyVacation</formula>
    </cfRule>
  </conditionalFormatting>
  <conditionalFormatting sqref="AD22">
    <cfRule type="expression" priority="97" stopIfTrue="1">
      <formula>AD22=""</formula>
    </cfRule>
    <cfRule type="expression" dxfId="84" priority="98" stopIfTrue="1">
      <formula>AD22=KeyCustom2</formula>
    </cfRule>
    <cfRule type="expression" dxfId="83" priority="99" stopIfTrue="1">
      <formula>AD22=KeyCustom1</formula>
    </cfRule>
    <cfRule type="expression" dxfId="82" priority="100" stopIfTrue="1">
      <formula>AD22=KeySick</formula>
    </cfRule>
    <cfRule type="expression" dxfId="81" priority="101" stopIfTrue="1">
      <formula>AD22=KeyPersonal</formula>
    </cfRule>
    <cfRule type="expression" dxfId="80" priority="102" stopIfTrue="1">
      <formula>AD22=KeyVacation</formula>
    </cfRule>
  </conditionalFormatting>
  <conditionalFormatting sqref="AE9:AE11 AE21 AE13:AE18 AE23:AE27">
    <cfRule type="expression" priority="91" stopIfTrue="1">
      <formula>AE9=""</formula>
    </cfRule>
    <cfRule type="expression" dxfId="79" priority="92" stopIfTrue="1">
      <formula>AE9=KeyCustom2</formula>
    </cfRule>
    <cfRule type="expression" dxfId="78" priority="93" stopIfTrue="1">
      <formula>AE9=KeyCustom1</formula>
    </cfRule>
    <cfRule type="expression" dxfId="77" priority="94" stopIfTrue="1">
      <formula>AE9=KeySick</formula>
    </cfRule>
    <cfRule type="expression" dxfId="76" priority="95" stopIfTrue="1">
      <formula>AE9=KeyPersonal</formula>
    </cfRule>
    <cfRule type="expression" dxfId="75" priority="96" stopIfTrue="1">
      <formula>AE9=KeyVacation</formula>
    </cfRule>
  </conditionalFormatting>
  <conditionalFormatting sqref="AE28">
    <cfRule type="expression" priority="85" stopIfTrue="1">
      <formula>AE28=""</formula>
    </cfRule>
    <cfRule type="expression" dxfId="74" priority="86" stopIfTrue="1">
      <formula>AE28=KeyCustom2</formula>
    </cfRule>
    <cfRule type="expression" dxfId="73" priority="87" stopIfTrue="1">
      <formula>AE28=KeyCustom1</formula>
    </cfRule>
    <cfRule type="expression" dxfId="72" priority="88" stopIfTrue="1">
      <formula>AE28=KeySick</formula>
    </cfRule>
    <cfRule type="expression" dxfId="71" priority="89" stopIfTrue="1">
      <formula>AE28=KeyPersonal</formula>
    </cfRule>
    <cfRule type="expression" dxfId="70" priority="90" stopIfTrue="1">
      <formula>AE28=KeyVacation</formula>
    </cfRule>
  </conditionalFormatting>
  <conditionalFormatting sqref="AE12">
    <cfRule type="expression" priority="79" stopIfTrue="1">
      <formula>AE12=""</formula>
    </cfRule>
    <cfRule type="expression" dxfId="69" priority="80" stopIfTrue="1">
      <formula>AE12=KeyCustom2</formula>
    </cfRule>
    <cfRule type="expression" dxfId="68" priority="81" stopIfTrue="1">
      <formula>AE12=KeyCustom1</formula>
    </cfRule>
    <cfRule type="expression" dxfId="67" priority="82" stopIfTrue="1">
      <formula>AE12=KeySick</formula>
    </cfRule>
    <cfRule type="expression" dxfId="66" priority="83" stopIfTrue="1">
      <formula>AE12=KeyPersonal</formula>
    </cfRule>
    <cfRule type="expression" dxfId="65" priority="84" stopIfTrue="1">
      <formula>AE12=KeyVacation</formula>
    </cfRule>
  </conditionalFormatting>
  <conditionalFormatting sqref="AE19">
    <cfRule type="expression" priority="73" stopIfTrue="1">
      <formula>AE19=""</formula>
    </cfRule>
    <cfRule type="expression" dxfId="64" priority="74" stopIfTrue="1">
      <formula>AE19=KeyCustom2</formula>
    </cfRule>
    <cfRule type="expression" dxfId="63" priority="75" stopIfTrue="1">
      <formula>AE19=KeyCustom1</formula>
    </cfRule>
    <cfRule type="expression" dxfId="62" priority="76" stopIfTrue="1">
      <formula>AE19=KeySick</formula>
    </cfRule>
    <cfRule type="expression" dxfId="61" priority="77" stopIfTrue="1">
      <formula>AE19=KeyPersonal</formula>
    </cfRule>
    <cfRule type="expression" dxfId="60" priority="78" stopIfTrue="1">
      <formula>AE19=KeyVacation</formula>
    </cfRule>
  </conditionalFormatting>
  <conditionalFormatting sqref="AE20">
    <cfRule type="expression" priority="67" stopIfTrue="1">
      <formula>AE20=""</formula>
    </cfRule>
    <cfRule type="expression" dxfId="59" priority="68" stopIfTrue="1">
      <formula>AE20=KeyCustom2</formula>
    </cfRule>
    <cfRule type="expression" dxfId="58" priority="69" stopIfTrue="1">
      <formula>AE20=KeyCustom1</formula>
    </cfRule>
    <cfRule type="expression" dxfId="57" priority="70" stopIfTrue="1">
      <formula>AE20=KeySick</formula>
    </cfRule>
    <cfRule type="expression" dxfId="56" priority="71" stopIfTrue="1">
      <formula>AE20=KeyPersonal</formula>
    </cfRule>
    <cfRule type="expression" dxfId="55" priority="72" stopIfTrue="1">
      <formula>AE20=KeyVacation</formula>
    </cfRule>
  </conditionalFormatting>
  <conditionalFormatting sqref="AE22">
    <cfRule type="expression" priority="61" stopIfTrue="1">
      <formula>AE22=""</formula>
    </cfRule>
    <cfRule type="expression" dxfId="54" priority="62" stopIfTrue="1">
      <formula>AE22=KeyCustom2</formula>
    </cfRule>
    <cfRule type="expression" dxfId="53" priority="63" stopIfTrue="1">
      <formula>AE22=KeyCustom1</formula>
    </cfRule>
    <cfRule type="expression" dxfId="52" priority="64" stopIfTrue="1">
      <formula>AE22=KeySick</formula>
    </cfRule>
    <cfRule type="expression" dxfId="51" priority="65" stopIfTrue="1">
      <formula>AE22=KeyPersonal</formula>
    </cfRule>
    <cfRule type="expression" dxfId="50" priority="66" stopIfTrue="1">
      <formula>AE22=KeyVacation</formula>
    </cfRule>
  </conditionalFormatting>
  <conditionalFormatting sqref="AF9:AF11 AF21 AF13:AF18 AF23:AF27">
    <cfRule type="expression" priority="55" stopIfTrue="1">
      <formula>AF9=""</formula>
    </cfRule>
    <cfRule type="expression" dxfId="49" priority="56" stopIfTrue="1">
      <formula>AF9=KeyCustom2</formula>
    </cfRule>
    <cfRule type="expression" dxfId="48" priority="57" stopIfTrue="1">
      <formula>AF9=KeyCustom1</formula>
    </cfRule>
    <cfRule type="expression" dxfId="47" priority="58" stopIfTrue="1">
      <formula>AF9=KeySick</formula>
    </cfRule>
    <cfRule type="expression" dxfId="46" priority="59" stopIfTrue="1">
      <formula>AF9=KeyPersonal</formula>
    </cfRule>
    <cfRule type="expression" dxfId="45" priority="60" stopIfTrue="1">
      <formula>AF9=KeyVacation</formula>
    </cfRule>
  </conditionalFormatting>
  <conditionalFormatting sqref="AF28">
    <cfRule type="expression" priority="49" stopIfTrue="1">
      <formula>AF28=""</formula>
    </cfRule>
    <cfRule type="expression" dxfId="44" priority="50" stopIfTrue="1">
      <formula>AF28=KeyCustom2</formula>
    </cfRule>
    <cfRule type="expression" dxfId="43" priority="51" stopIfTrue="1">
      <formula>AF28=KeyCustom1</formula>
    </cfRule>
    <cfRule type="expression" dxfId="42" priority="52" stopIfTrue="1">
      <formula>AF28=KeySick</formula>
    </cfRule>
    <cfRule type="expression" dxfId="41" priority="53" stopIfTrue="1">
      <formula>AF28=KeyPersonal</formula>
    </cfRule>
    <cfRule type="expression" dxfId="40" priority="54" stopIfTrue="1">
      <formula>AF28=KeyVacation</formula>
    </cfRule>
  </conditionalFormatting>
  <conditionalFormatting sqref="AF12">
    <cfRule type="expression" priority="43" stopIfTrue="1">
      <formula>AF12=""</formula>
    </cfRule>
    <cfRule type="expression" dxfId="39" priority="44" stopIfTrue="1">
      <formula>AF12=KeyCustom2</formula>
    </cfRule>
    <cfRule type="expression" dxfId="38" priority="45" stopIfTrue="1">
      <formula>AF12=KeyCustom1</formula>
    </cfRule>
    <cfRule type="expression" dxfId="37" priority="46" stopIfTrue="1">
      <formula>AF12=KeySick</formula>
    </cfRule>
    <cfRule type="expression" dxfId="36" priority="47" stopIfTrue="1">
      <formula>AF12=KeyPersonal</formula>
    </cfRule>
    <cfRule type="expression" dxfId="35" priority="48" stopIfTrue="1">
      <formula>AF12=KeyVacation</formula>
    </cfRule>
  </conditionalFormatting>
  <conditionalFormatting sqref="AF19">
    <cfRule type="expression" priority="37" stopIfTrue="1">
      <formula>AF19=""</formula>
    </cfRule>
    <cfRule type="expression" dxfId="34" priority="38" stopIfTrue="1">
      <formula>AF19=KeyCustom2</formula>
    </cfRule>
    <cfRule type="expression" dxfId="33" priority="39" stopIfTrue="1">
      <formula>AF19=KeyCustom1</formula>
    </cfRule>
    <cfRule type="expression" dxfId="32" priority="40" stopIfTrue="1">
      <formula>AF19=KeySick</formula>
    </cfRule>
    <cfRule type="expression" dxfId="31" priority="41" stopIfTrue="1">
      <formula>AF19=KeyPersonal</formula>
    </cfRule>
    <cfRule type="expression" dxfId="30" priority="42" stopIfTrue="1">
      <formula>AF19=KeyVacation</formula>
    </cfRule>
  </conditionalFormatting>
  <conditionalFormatting sqref="AF20">
    <cfRule type="expression" priority="31" stopIfTrue="1">
      <formula>AF20=""</formula>
    </cfRule>
    <cfRule type="expression" dxfId="29" priority="32" stopIfTrue="1">
      <formula>AF20=KeyCustom2</formula>
    </cfRule>
    <cfRule type="expression" dxfId="28" priority="33" stopIfTrue="1">
      <formula>AF20=KeyCustom1</formula>
    </cfRule>
    <cfRule type="expression" dxfId="27" priority="34" stopIfTrue="1">
      <formula>AF20=KeySick</formula>
    </cfRule>
    <cfRule type="expression" dxfId="26" priority="35" stopIfTrue="1">
      <formula>AF20=KeyPersonal</formula>
    </cfRule>
    <cfRule type="expression" dxfId="25" priority="36" stopIfTrue="1">
      <formula>AF20=KeyVacation</formula>
    </cfRule>
  </conditionalFormatting>
  <conditionalFormatting sqref="AF22">
    <cfRule type="expression" priority="25" stopIfTrue="1">
      <formula>AF22=""</formula>
    </cfRule>
    <cfRule type="expression" dxfId="24" priority="26" stopIfTrue="1">
      <formula>AF22=KeyCustom2</formula>
    </cfRule>
    <cfRule type="expression" dxfId="23" priority="27" stopIfTrue="1">
      <formula>AF22=KeyCustom1</formula>
    </cfRule>
    <cfRule type="expression" dxfId="22" priority="28" stopIfTrue="1">
      <formula>AF22=KeySick</formula>
    </cfRule>
    <cfRule type="expression" dxfId="21" priority="29" stopIfTrue="1">
      <formula>AF22=KeyPersonal</formula>
    </cfRule>
    <cfRule type="expression" dxfId="20" priority="30" stopIfTrue="1">
      <formula>AF22=KeyVacation</formula>
    </cfRule>
  </conditionalFormatting>
  <conditionalFormatting sqref="AG19">
    <cfRule type="expression" priority="1" stopIfTrue="1">
      <formula>AG19=""</formula>
    </cfRule>
    <cfRule type="expression" dxfId="19" priority="2" stopIfTrue="1">
      <formula>AG19=KeyCustom2</formula>
    </cfRule>
    <cfRule type="expression" dxfId="18" priority="3" stopIfTrue="1">
      <formula>AG19=KeyCustom1</formula>
    </cfRule>
    <cfRule type="expression" dxfId="17" priority="4" stopIfTrue="1">
      <formula>AG19=KeySick</formula>
    </cfRule>
    <cfRule type="expression" dxfId="16" priority="5" stopIfTrue="1">
      <formula>AG19=KeyPersonal</formula>
    </cfRule>
    <cfRule type="expression" dxfId="15" priority="6" stopIfTrue="1">
      <formula>AG19=KeyVacation</formula>
    </cfRule>
  </conditionalFormatting>
  <conditionalFormatting sqref="AG16">
    <cfRule type="expression" priority="19" stopIfTrue="1">
      <formula>AG16=""</formula>
    </cfRule>
    <cfRule type="expression" dxfId="14" priority="20" stopIfTrue="1">
      <formula>AG16=KeyCustom2</formula>
    </cfRule>
    <cfRule type="expression" dxfId="13" priority="21" stopIfTrue="1">
      <formula>AG16=KeyCustom1</formula>
    </cfRule>
    <cfRule type="expression" dxfId="12" priority="22" stopIfTrue="1">
      <formula>AG16=KeySick</formula>
    </cfRule>
    <cfRule type="expression" dxfId="11" priority="23" stopIfTrue="1">
      <formula>AG16=KeyPersonal</formula>
    </cfRule>
    <cfRule type="expression" dxfId="10" priority="24" stopIfTrue="1">
      <formula>AG16=KeyVacation</formula>
    </cfRule>
  </conditionalFormatting>
  <conditionalFormatting sqref="AG17">
    <cfRule type="expression" priority="13" stopIfTrue="1">
      <formula>AG17=""</formula>
    </cfRule>
    <cfRule type="expression" dxfId="9" priority="14" stopIfTrue="1">
      <formula>AG17=KeyCustom2</formula>
    </cfRule>
    <cfRule type="expression" dxfId="8" priority="15" stopIfTrue="1">
      <formula>AG17=KeyCustom1</formula>
    </cfRule>
    <cfRule type="expression" dxfId="7" priority="16" stopIfTrue="1">
      <formula>AG17=KeySick</formula>
    </cfRule>
    <cfRule type="expression" dxfId="6" priority="17" stopIfTrue="1">
      <formula>AG17=KeyPersonal</formula>
    </cfRule>
    <cfRule type="expression" dxfId="5" priority="18" stopIfTrue="1">
      <formula>AG17=KeyVacation</formula>
    </cfRule>
  </conditionalFormatting>
  <conditionalFormatting sqref="AG18">
    <cfRule type="expression" priority="7" stopIfTrue="1">
      <formula>AG18=""</formula>
    </cfRule>
    <cfRule type="expression" dxfId="4" priority="8" stopIfTrue="1">
      <formula>AG18=KeyCustom2</formula>
    </cfRule>
    <cfRule type="expression" dxfId="3" priority="9" stopIfTrue="1">
      <formula>AG18=KeyCustom1</formula>
    </cfRule>
    <cfRule type="expression" dxfId="2" priority="10" stopIfTrue="1">
      <formula>AG18=KeySick</formula>
    </cfRule>
    <cfRule type="expression" dxfId="1" priority="11" stopIfTrue="1">
      <formula>AG18=KeyPersonal</formula>
    </cfRule>
    <cfRule type="expression" dxfId="0" priority="12" stopIfTrue="1">
      <formula>AG18=KeyVacation</formula>
    </cfRule>
  </conditionalFormatting>
  <dataValidations count="14">
    <dataValidation allowBlank="1" showInputMessage="1" showErrorMessage="1" prompt="Track October absence in this worksheet" sqref="C1"/>
    <dataValidation allowBlank="1" showInputMessage="1" showErrorMessage="1" prompt="Title of the worksheet is in this cell. " sqref="D1"/>
    <dataValidation allowBlank="1" showInputMessage="1" showErrorMessage="1" prompt="Weekdays in this row are automatically updated for the month according to the year in AH4. Each day of the month is a column to note an employee's absence and absence type" sqref="H7"/>
    <dataValidation allowBlank="1" showInputMessage="1" showErrorMessage="1" prompt="Automatically updated year based on year entered in January worksheet" sqref="AJ6"/>
    <dataValidation allowBlank="1" showInputMessage="1" showErrorMessage="1" prompt="Automatically calculates total number of days an employee was absent this month in this column" sqref="AI8"/>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C8"/>
    <dataValidation allowBlank="1" showInputMessage="1" showErrorMessage="1" prompt="The letter &quot;V&quot; indicates absence due to vacation" sqref="D4"/>
    <dataValidation allowBlank="1" showInputMessage="1" showErrorMessage="1" prompt="The letter &quot;P&quot; indicates absence due to personal reasons" sqref="H4"/>
    <dataValidation allowBlank="1" showInputMessage="1" showErrorMessage="1" prompt="The letter &quot;S&quot; indicates absence due to illness" sqref="L4 P4 T4"/>
    <dataValidation allowBlank="1" showInputMessage="1" showErrorMessage="1" prompt="Enter a label to describe the custom key at left" sqref="I4:K4"/>
    <dataValidation allowBlank="1" showInputMessage="1" showErrorMessage="1" prompt="This row defines the keys used in the table: cell C4 is Vacation, G4 is Personal, &amp; K4 is Sick leave. Cells N4 &amp; R4 are customizable " sqref="C4"/>
    <dataValidation allowBlank="1" showInputMessage="1" showErrorMessage="1" prompt="Month name for this absence schedule is in this cell. Absence totals for this month are in last cell of the table. Select employee names in table column B" sqref="D2"/>
    <dataValidation allowBlank="1" showInputMessage="1" showErrorMessage="1" prompt="Days of the month in this row are automatically generated. Enter an employee's absence and absence type in each column for each day of the month. Blank means no absence" sqref="I8"/>
    <dataValidation type="list" allowBlank="1" showInputMessage="1" showErrorMessage="1" sqref="C33:C41">
      <formula1>$C$5:$C$25</formula1>
    </dataValidation>
  </dataValidations>
  <pageMargins left="0.7" right="0.7" top="0.75" bottom="0.75" header="0.3" footer="0.3"/>
  <pageSetup paperSize="9" scale="71" orientation="portrait" horizontalDpi="360" verticalDpi="360"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3B8D853-79D2-4E97-A835-44DD3B76FD46}">
            <x14:dataBar minLength="0" maxLength="100">
              <x14:cfvo type="autoMin"/>
              <x14:cfvo type="formula">
                <xm:f>DATEDIF(DATE(CalendarYear,2,1),DATE(CalendarYear,3,1),"d")</xm:f>
              </x14:cfvo>
              <x14:negativeFillColor rgb="FFFF0000"/>
              <x14:axisColor rgb="FF000000"/>
            </x14:dataBar>
          </x14:cfRule>
          <xm:sqref>AI9:AI28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'Employee names'!$C$5:$C$23</xm:f>
          </x14:formula1>
          <xm:sqref>C9:C28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pageSetUpPr fitToPage="1"/>
  </sheetPr>
  <dimension ref="B2:Q30"/>
  <sheetViews>
    <sheetView showGridLines="0" zoomScale="94" workbookViewId="0">
      <selection sqref="A1:Q24"/>
    </sheetView>
  </sheetViews>
  <sheetFormatPr defaultColWidth="8.77734375" defaultRowHeight="30" customHeight="1"/>
  <cols>
    <col min="1" max="1" width="2" customWidth="1"/>
    <col min="2" max="2" width="3.88671875" customWidth="1"/>
    <col min="3" max="3" width="39.109375" bestFit="1" customWidth="1"/>
    <col min="4" max="4" width="16.77734375" hidden="1" customWidth="1"/>
    <col min="5" max="5" width="14.5546875" style="44" hidden="1" customWidth="1"/>
    <col min="6" max="6" width="10.6640625" hidden="1" customWidth="1"/>
    <col min="7" max="7" width="9.6640625" hidden="1" customWidth="1"/>
    <col min="8" max="8" width="7.33203125" style="65" hidden="1" customWidth="1"/>
    <col min="9" max="9" width="9.21875" hidden="1" customWidth="1"/>
    <col min="10" max="10" width="8.5546875" hidden="1" customWidth="1"/>
    <col min="11" max="11" width="10.5546875" hidden="1" customWidth="1"/>
    <col min="12" max="12" width="12.88671875" style="180" customWidth="1"/>
    <col min="13" max="13" width="21.88671875" style="188" bestFit="1" customWidth="1"/>
    <col min="14" max="14" width="32.33203125" style="199" customWidth="1"/>
    <col min="16" max="16" width="18.6640625" customWidth="1"/>
    <col min="17" max="17" width="16.44140625" style="239" customWidth="1"/>
  </cols>
  <sheetData>
    <row r="2" spans="2:17" s="43" customFormat="1" ht="23.4" customHeight="1">
      <c r="C2" s="45" t="s">
        <v>63</v>
      </c>
      <c r="E2" s="44"/>
      <c r="H2" s="181" t="e">
        <f>I4/J4</f>
        <v>#DIV/0!</v>
      </c>
      <c r="I2" s="331" t="s">
        <v>82</v>
      </c>
      <c r="J2" s="332"/>
      <c r="K2" s="183"/>
      <c r="L2" s="180"/>
      <c r="M2" s="183"/>
      <c r="N2" s="196"/>
      <c r="Q2" s="238"/>
    </row>
    <row r="3" spans="2:17" s="43" customFormat="1" ht="15" customHeight="1">
      <c r="E3" s="44"/>
      <c r="H3" s="63"/>
      <c r="I3" s="75" t="s">
        <v>83</v>
      </c>
      <c r="J3" s="184" t="s">
        <v>84</v>
      </c>
      <c r="K3" s="185" t="s">
        <v>85</v>
      </c>
      <c r="L3" s="180"/>
      <c r="M3" s="183"/>
      <c r="N3" s="196"/>
      <c r="Q3" s="238"/>
    </row>
    <row r="4" spans="2:17" s="43" customFormat="1" ht="30" customHeight="1">
      <c r="B4" s="153" t="s">
        <v>125</v>
      </c>
      <c r="C4" s="43" t="s">
        <v>52</v>
      </c>
      <c r="D4" s="43" t="s">
        <v>79</v>
      </c>
      <c r="E4" s="53" t="s">
        <v>76</v>
      </c>
      <c r="F4" s="54" t="s">
        <v>77</v>
      </c>
      <c r="G4" s="54" t="s">
        <v>78</v>
      </c>
      <c r="H4" s="66" t="s">
        <v>81</v>
      </c>
      <c r="I4" s="55"/>
      <c r="J4" s="68">
        <f>SUM(J5:J23)</f>
        <v>0</v>
      </c>
      <c r="K4" s="68">
        <f>SUM(K5:K23)</f>
        <v>0</v>
      </c>
      <c r="L4" s="193"/>
      <c r="M4" s="333" t="s">
        <v>141</v>
      </c>
      <c r="N4" s="333"/>
      <c r="O4" s="333"/>
      <c r="P4" s="208" t="s">
        <v>174</v>
      </c>
      <c r="Q4" s="240"/>
    </row>
    <row r="5" spans="2:17" s="43" customFormat="1" ht="16.2" customHeight="1">
      <c r="B5" s="43">
        <v>1</v>
      </c>
      <c r="C5" s="155" t="s">
        <v>116</v>
      </c>
      <c r="D5" s="157">
        <f t="shared" ref="D5:D22" si="0">SUM(E5:K5)</f>
        <v>10000000</v>
      </c>
      <c r="E5" s="55">
        <v>10000000</v>
      </c>
      <c r="F5" s="56"/>
      <c r="G5" s="56"/>
      <c r="H5" s="67"/>
      <c r="I5" s="69"/>
      <c r="J5" s="68"/>
      <c r="K5" s="68"/>
      <c r="L5" s="193" t="s">
        <v>127</v>
      </c>
      <c r="M5" s="195" t="s">
        <v>164</v>
      </c>
      <c r="N5" s="198" t="s">
        <v>165</v>
      </c>
      <c r="O5" s="194" t="s">
        <v>140</v>
      </c>
      <c r="P5" s="338" t="s">
        <v>207</v>
      </c>
      <c r="Q5" s="240"/>
    </row>
    <row r="6" spans="2:17" s="43" customFormat="1" ht="16.2" customHeight="1">
      <c r="B6" s="43">
        <v>2</v>
      </c>
      <c r="C6" s="30" t="s">
        <v>121</v>
      </c>
      <c r="D6" s="157">
        <f t="shared" si="0"/>
        <v>9000000</v>
      </c>
      <c r="E6" s="55">
        <v>9000000</v>
      </c>
      <c r="F6" s="56"/>
      <c r="G6" s="56"/>
      <c r="H6" s="67"/>
      <c r="I6" s="69"/>
      <c r="J6" s="68"/>
      <c r="K6" s="68"/>
      <c r="L6" s="193" t="s">
        <v>134</v>
      </c>
      <c r="M6" s="195" t="s">
        <v>208</v>
      </c>
      <c r="N6" s="339" t="s">
        <v>209</v>
      </c>
      <c r="O6" s="194" t="s">
        <v>140</v>
      </c>
      <c r="P6" s="209">
        <v>46017</v>
      </c>
      <c r="Q6" s="240"/>
    </row>
    <row r="7" spans="2:17" s="43" customFormat="1" ht="16.2" customHeight="1">
      <c r="B7" s="43">
        <v>3</v>
      </c>
      <c r="C7" s="46" t="s">
        <v>117</v>
      </c>
      <c r="D7" s="157">
        <f t="shared" si="0"/>
        <v>5000000</v>
      </c>
      <c r="E7" s="55">
        <v>5000000</v>
      </c>
      <c r="F7" s="56"/>
      <c r="G7" s="56"/>
      <c r="H7" s="67"/>
      <c r="I7" s="69"/>
      <c r="J7" s="68"/>
      <c r="K7" s="68"/>
      <c r="L7" s="193" t="s">
        <v>135</v>
      </c>
      <c r="M7" s="195" t="s">
        <v>162</v>
      </c>
      <c r="N7" s="198" t="s">
        <v>163</v>
      </c>
      <c r="O7" s="194" t="s">
        <v>140</v>
      </c>
      <c r="P7" s="338" t="s">
        <v>207</v>
      </c>
      <c r="Q7" s="240"/>
    </row>
    <row r="8" spans="2:17" s="43" customFormat="1" ht="16.2" customHeight="1">
      <c r="B8" s="43">
        <v>4</v>
      </c>
      <c r="C8" s="46" t="s">
        <v>118</v>
      </c>
      <c r="D8" s="157">
        <f t="shared" si="0"/>
        <v>2000000</v>
      </c>
      <c r="E8" s="55">
        <v>2000000</v>
      </c>
      <c r="F8" s="56"/>
      <c r="G8" s="56"/>
      <c r="H8" s="67"/>
      <c r="I8" s="69"/>
      <c r="J8" s="68"/>
      <c r="K8" s="68"/>
      <c r="L8" s="193" t="s">
        <v>128</v>
      </c>
      <c r="M8" s="195" t="s">
        <v>160</v>
      </c>
      <c r="N8" s="198" t="s">
        <v>161</v>
      </c>
      <c r="O8" s="194" t="s">
        <v>140</v>
      </c>
      <c r="P8" s="338" t="s">
        <v>207</v>
      </c>
      <c r="Q8" s="240"/>
    </row>
    <row r="9" spans="2:17" s="43" customFormat="1" ht="16.2" customHeight="1">
      <c r="B9" s="43">
        <v>5</v>
      </c>
      <c r="C9" s="156" t="s">
        <v>124</v>
      </c>
      <c r="D9" s="157">
        <f t="shared" si="0"/>
        <v>7500000</v>
      </c>
      <c r="E9" s="55">
        <v>7500000</v>
      </c>
      <c r="F9" s="56"/>
      <c r="G9" s="56"/>
      <c r="H9" s="67"/>
      <c r="I9" s="69"/>
      <c r="J9" s="68"/>
      <c r="K9" s="68"/>
      <c r="L9" s="193" t="s">
        <v>129</v>
      </c>
      <c r="M9" s="195">
        <v>2201232467120</v>
      </c>
      <c r="N9" s="198" t="s">
        <v>157</v>
      </c>
      <c r="O9" s="194" t="s">
        <v>140</v>
      </c>
      <c r="P9" s="209">
        <v>45926</v>
      </c>
      <c r="Q9" s="240"/>
    </row>
    <row r="10" spans="2:17" s="43" customFormat="1" ht="16.2" customHeight="1">
      <c r="B10" s="43">
        <v>6</v>
      </c>
      <c r="C10" s="200" t="s">
        <v>172</v>
      </c>
      <c r="D10" s="179">
        <f t="shared" si="0"/>
        <v>4990000</v>
      </c>
      <c r="E10" s="55">
        <v>4500000</v>
      </c>
      <c r="F10" s="56">
        <v>440000</v>
      </c>
      <c r="G10" s="56">
        <v>50000</v>
      </c>
      <c r="H10" s="67"/>
      <c r="I10" s="69"/>
      <c r="J10" s="68"/>
      <c r="K10" s="68"/>
      <c r="L10" s="193" t="s">
        <v>130</v>
      </c>
      <c r="M10" s="195" t="s">
        <v>142</v>
      </c>
      <c r="N10" s="198" t="s">
        <v>143</v>
      </c>
      <c r="O10" s="194" t="s">
        <v>140</v>
      </c>
      <c r="P10" s="209">
        <v>45962</v>
      </c>
      <c r="Q10" s="240"/>
    </row>
    <row r="11" spans="2:17" s="43" customFormat="1" ht="16.2" customHeight="1">
      <c r="B11" s="43">
        <v>7</v>
      </c>
      <c r="C11" s="192" t="s">
        <v>171</v>
      </c>
      <c r="D11" s="157">
        <f t="shared" si="0"/>
        <v>5615000</v>
      </c>
      <c r="E11" s="55">
        <v>5125000</v>
      </c>
      <c r="F11" s="56">
        <v>440000</v>
      </c>
      <c r="G11" s="56">
        <v>50000</v>
      </c>
      <c r="H11" s="67"/>
      <c r="I11" s="69"/>
      <c r="J11" s="68"/>
      <c r="K11" s="68"/>
      <c r="L11" s="193" t="s">
        <v>132</v>
      </c>
      <c r="M11" s="195" t="s">
        <v>158</v>
      </c>
      <c r="N11" s="254" t="s">
        <v>159</v>
      </c>
      <c r="O11" s="194" t="s">
        <v>140</v>
      </c>
      <c r="P11" s="338" t="s">
        <v>207</v>
      </c>
      <c r="Q11" s="240"/>
    </row>
    <row r="12" spans="2:17" s="43" customFormat="1" ht="16.2" customHeight="1">
      <c r="B12" s="43">
        <v>8</v>
      </c>
      <c r="C12" s="192" t="s">
        <v>154</v>
      </c>
      <c r="D12" s="62">
        <f t="shared" si="0"/>
        <v>4730000</v>
      </c>
      <c r="E12" s="55">
        <v>4250000</v>
      </c>
      <c r="F12" s="56">
        <v>440000</v>
      </c>
      <c r="G12" s="56">
        <v>40000</v>
      </c>
      <c r="H12" s="67"/>
      <c r="I12" s="69"/>
      <c r="J12" s="68"/>
      <c r="K12" s="68"/>
      <c r="L12" s="193" t="s">
        <v>132</v>
      </c>
      <c r="M12" s="195" t="s">
        <v>155</v>
      </c>
      <c r="N12" s="198" t="s">
        <v>156</v>
      </c>
      <c r="O12" s="194" t="s">
        <v>140</v>
      </c>
      <c r="P12" s="209">
        <v>45971</v>
      </c>
      <c r="Q12" s="240"/>
    </row>
    <row r="13" spans="2:17" s="43" customFormat="1" ht="16.2" customHeight="1">
      <c r="B13" s="43">
        <v>9</v>
      </c>
      <c r="C13" s="277" t="s">
        <v>195</v>
      </c>
      <c r="D13" s="62">
        <f t="shared" ref="D13" si="1">SUM(E13:K13)</f>
        <v>5700000</v>
      </c>
      <c r="E13" s="55">
        <v>5220000</v>
      </c>
      <c r="F13" s="56">
        <v>440000</v>
      </c>
      <c r="G13" s="56">
        <v>40000</v>
      </c>
      <c r="H13" s="67"/>
      <c r="I13" s="69"/>
      <c r="J13" s="68"/>
      <c r="K13" s="68"/>
      <c r="L13" s="193" t="s">
        <v>132</v>
      </c>
      <c r="M13" s="195" t="s">
        <v>196</v>
      </c>
      <c r="N13" s="278" t="s">
        <v>197</v>
      </c>
      <c r="O13" s="279" t="s">
        <v>140</v>
      </c>
      <c r="P13" s="209">
        <v>46030</v>
      </c>
      <c r="Q13" s="240"/>
    </row>
    <row r="14" spans="2:17" s="43" customFormat="1" ht="16.2" customHeight="1">
      <c r="B14" s="43">
        <v>10</v>
      </c>
      <c r="C14" s="277" t="s">
        <v>199</v>
      </c>
      <c r="D14" s="62">
        <f>SUM(E14:K14)</f>
        <v>4730000</v>
      </c>
      <c r="E14" s="55">
        <v>4250000</v>
      </c>
      <c r="F14" s="56">
        <v>440000</v>
      </c>
      <c r="G14" s="56">
        <v>40000</v>
      </c>
      <c r="H14" s="67"/>
      <c r="I14" s="69"/>
      <c r="J14" s="68"/>
      <c r="K14" s="68"/>
      <c r="L14" s="193" t="s">
        <v>132</v>
      </c>
      <c r="M14" s="195" t="s">
        <v>200</v>
      </c>
      <c r="N14" s="278" t="s">
        <v>198</v>
      </c>
      <c r="O14" s="279" t="s">
        <v>140</v>
      </c>
      <c r="P14" s="209">
        <v>46025</v>
      </c>
      <c r="Q14" s="240"/>
    </row>
    <row r="15" spans="2:17" s="43" customFormat="1" ht="16.2" customHeight="1">
      <c r="B15" s="43">
        <v>11</v>
      </c>
      <c r="C15" s="266" t="s">
        <v>193</v>
      </c>
      <c r="D15" s="62">
        <f>SUM(E15:K15)</f>
        <v>4000000</v>
      </c>
      <c r="E15" s="55">
        <v>4000000</v>
      </c>
      <c r="F15" s="56"/>
      <c r="G15" s="56"/>
      <c r="H15" s="67"/>
      <c r="I15" s="69"/>
      <c r="J15" s="68"/>
      <c r="K15" s="68"/>
      <c r="L15" s="193" t="s">
        <v>132</v>
      </c>
      <c r="M15" s="195" t="s">
        <v>166</v>
      </c>
      <c r="N15" s="197"/>
      <c r="O15" s="68"/>
      <c r="P15" s="209">
        <v>46034</v>
      </c>
      <c r="Q15" s="240"/>
    </row>
    <row r="16" spans="2:17" s="43" customFormat="1" ht="16.2" customHeight="1">
      <c r="B16" s="43">
        <v>12</v>
      </c>
      <c r="C16" s="277" t="s">
        <v>201</v>
      </c>
      <c r="D16" s="179">
        <f>SUM(E16:K16)</f>
        <v>4980000</v>
      </c>
      <c r="E16" s="55">
        <v>4500000</v>
      </c>
      <c r="F16" s="56">
        <v>440000</v>
      </c>
      <c r="G16" s="56">
        <v>40000</v>
      </c>
      <c r="H16" s="67"/>
      <c r="I16" s="69"/>
      <c r="J16" s="68"/>
      <c r="K16" s="68"/>
      <c r="L16" s="193" t="s">
        <v>131</v>
      </c>
      <c r="M16" s="195" t="s">
        <v>203</v>
      </c>
      <c r="N16" s="278" t="s">
        <v>204</v>
      </c>
      <c r="O16" s="194" t="s">
        <v>140</v>
      </c>
      <c r="P16" s="209">
        <v>46017</v>
      </c>
      <c r="Q16" s="240"/>
    </row>
    <row r="17" spans="2:17" s="43" customFormat="1" ht="16.2" customHeight="1">
      <c r="B17" s="43">
        <v>13</v>
      </c>
      <c r="C17" s="191" t="s">
        <v>148</v>
      </c>
      <c r="D17" s="157">
        <f t="shared" si="0"/>
        <v>4980000</v>
      </c>
      <c r="E17" s="55">
        <v>4500000</v>
      </c>
      <c r="F17" s="56">
        <v>440000</v>
      </c>
      <c r="G17" s="56">
        <v>40000</v>
      </c>
      <c r="H17" s="67"/>
      <c r="I17" s="69"/>
      <c r="J17" s="68"/>
      <c r="K17" s="68"/>
      <c r="L17" s="193" t="s">
        <v>131</v>
      </c>
      <c r="M17" s="195" t="s">
        <v>149</v>
      </c>
      <c r="N17" s="198" t="s">
        <v>150</v>
      </c>
      <c r="O17" s="194" t="s">
        <v>140</v>
      </c>
      <c r="P17" s="209">
        <v>45971</v>
      </c>
      <c r="Q17" s="240"/>
    </row>
    <row r="18" spans="2:17" s="43" customFormat="1" ht="16.2" customHeight="1">
      <c r="B18" s="43">
        <v>14</v>
      </c>
      <c r="C18" s="192" t="s">
        <v>137</v>
      </c>
      <c r="D18" s="179">
        <f t="shared" si="0"/>
        <v>4980000</v>
      </c>
      <c r="E18" s="55">
        <v>4500000</v>
      </c>
      <c r="F18" s="56">
        <v>440000</v>
      </c>
      <c r="G18" s="56">
        <v>40000</v>
      </c>
      <c r="H18" s="67"/>
      <c r="I18" s="69"/>
      <c r="J18" s="68"/>
      <c r="K18" s="68"/>
      <c r="L18" s="193" t="s">
        <v>131</v>
      </c>
      <c r="M18" s="195" t="s">
        <v>138</v>
      </c>
      <c r="N18" s="198" t="s">
        <v>139</v>
      </c>
      <c r="O18" s="194" t="s">
        <v>140</v>
      </c>
      <c r="P18" s="209">
        <v>45971</v>
      </c>
      <c r="Q18" s="240"/>
    </row>
    <row r="19" spans="2:17" s="43" customFormat="1" ht="16.2" customHeight="1">
      <c r="B19" s="43">
        <v>15</v>
      </c>
      <c r="C19" s="191" t="s">
        <v>169</v>
      </c>
      <c r="D19" s="179">
        <f t="shared" si="0"/>
        <v>4980000</v>
      </c>
      <c r="E19" s="55">
        <v>4500000</v>
      </c>
      <c r="F19" s="56">
        <v>440000</v>
      </c>
      <c r="G19" s="56">
        <v>40000</v>
      </c>
      <c r="H19" s="67"/>
      <c r="I19" s="69"/>
      <c r="J19" s="68"/>
      <c r="K19" s="68"/>
      <c r="L19" s="193" t="s">
        <v>202</v>
      </c>
      <c r="M19" s="195" t="s">
        <v>167</v>
      </c>
      <c r="N19" s="198" t="s">
        <v>168</v>
      </c>
      <c r="O19" s="194" t="s">
        <v>140</v>
      </c>
      <c r="P19" s="209">
        <v>45972</v>
      </c>
      <c r="Q19" s="240"/>
    </row>
    <row r="20" spans="2:17" s="43" customFormat="1" ht="16.2" customHeight="1">
      <c r="B20" s="43">
        <v>16</v>
      </c>
      <c r="C20" s="191" t="s">
        <v>147</v>
      </c>
      <c r="D20" s="157">
        <f t="shared" si="0"/>
        <v>4730000</v>
      </c>
      <c r="E20" s="55">
        <v>4250000</v>
      </c>
      <c r="F20" s="56">
        <v>440000</v>
      </c>
      <c r="G20" s="56">
        <v>40000</v>
      </c>
      <c r="H20" s="67"/>
      <c r="I20" s="69"/>
      <c r="J20" s="68"/>
      <c r="K20" s="68"/>
      <c r="L20" s="193" t="s">
        <v>126</v>
      </c>
      <c r="M20" s="195" t="s">
        <v>166</v>
      </c>
      <c r="N20" s="197"/>
      <c r="O20" s="68"/>
      <c r="P20" s="209">
        <v>45971</v>
      </c>
      <c r="Q20" s="240"/>
    </row>
    <row r="21" spans="2:17" s="43" customFormat="1" ht="16.2" customHeight="1">
      <c r="B21" s="43">
        <v>17</v>
      </c>
      <c r="C21" s="192" t="s">
        <v>153</v>
      </c>
      <c r="D21" s="179">
        <f t="shared" si="0"/>
        <v>4730000</v>
      </c>
      <c r="E21" s="55">
        <v>4250000</v>
      </c>
      <c r="F21" s="56">
        <v>440000</v>
      </c>
      <c r="G21" s="56">
        <v>40000</v>
      </c>
      <c r="H21" s="67"/>
      <c r="I21" s="69"/>
      <c r="J21" s="68"/>
      <c r="K21" s="68"/>
      <c r="L21" s="193" t="s">
        <v>126</v>
      </c>
      <c r="M21" s="195" t="s">
        <v>152</v>
      </c>
      <c r="N21" s="198" t="s">
        <v>151</v>
      </c>
      <c r="O21" s="194" t="s">
        <v>140</v>
      </c>
      <c r="P21" s="209">
        <v>45971</v>
      </c>
      <c r="Q21" s="240"/>
    </row>
    <row r="22" spans="2:17" s="43" customFormat="1" ht="16.2" customHeight="1">
      <c r="B22" s="43">
        <v>18</v>
      </c>
      <c r="C22" s="192" t="s">
        <v>144</v>
      </c>
      <c r="D22" s="179">
        <f t="shared" si="0"/>
        <v>4730000</v>
      </c>
      <c r="E22" s="55">
        <v>4250000</v>
      </c>
      <c r="F22" s="56">
        <v>440000</v>
      </c>
      <c r="G22" s="56">
        <v>40000</v>
      </c>
      <c r="H22" s="67"/>
      <c r="I22" s="69"/>
      <c r="J22" s="68"/>
      <c r="K22" s="68"/>
      <c r="L22" s="193" t="s">
        <v>126</v>
      </c>
      <c r="M22" s="195" t="s">
        <v>145</v>
      </c>
      <c r="N22" s="198" t="s">
        <v>146</v>
      </c>
      <c r="O22" s="194" t="s">
        <v>140</v>
      </c>
      <c r="P22" s="209">
        <v>45971</v>
      </c>
      <c r="Q22" s="240"/>
    </row>
    <row r="23" spans="2:17" s="43" customFormat="1" ht="16.2" customHeight="1">
      <c r="B23" s="43">
        <v>19</v>
      </c>
      <c r="C23" s="237" t="s">
        <v>186</v>
      </c>
      <c r="D23" s="179">
        <f>SUM(E23:K23)</f>
        <v>1500000</v>
      </c>
      <c r="E23" s="55">
        <v>1500000</v>
      </c>
      <c r="F23" s="56"/>
      <c r="G23" s="56"/>
      <c r="H23" s="67"/>
      <c r="I23" s="69"/>
      <c r="J23" s="68"/>
      <c r="K23" s="68"/>
      <c r="L23" s="193" t="s">
        <v>133</v>
      </c>
      <c r="M23" s="195" t="s">
        <v>189</v>
      </c>
      <c r="N23" s="252" t="s">
        <v>188</v>
      </c>
      <c r="O23" s="253" t="s">
        <v>140</v>
      </c>
      <c r="P23" s="209">
        <v>45994</v>
      </c>
      <c r="Q23" s="240"/>
    </row>
    <row r="24" spans="2:17" s="43" customFormat="1" ht="16.2" customHeight="1">
      <c r="B24" s="182" t="s">
        <v>136</v>
      </c>
      <c r="C24" s="280"/>
      <c r="D24" s="281">
        <f>SUM(EmployeeName[Column1])</f>
        <v>98875000</v>
      </c>
      <c r="E24" s="55"/>
      <c r="F24" s="56"/>
      <c r="G24" s="56"/>
      <c r="H24" s="67"/>
      <c r="I24" s="69"/>
      <c r="J24" s="68"/>
      <c r="K24" s="68"/>
      <c r="L24" s="193"/>
      <c r="M24" s="189"/>
      <c r="N24" s="197"/>
      <c r="O24" s="68"/>
      <c r="P24" s="68"/>
      <c r="Q24" s="240"/>
    </row>
    <row r="25" spans="2:17" s="43" customFormat="1" ht="30" customHeight="1">
      <c r="E25" s="44"/>
      <c r="H25" s="63"/>
      <c r="L25" s="180"/>
      <c r="M25" s="183"/>
      <c r="N25" s="196"/>
      <c r="Q25" s="238"/>
    </row>
    <row r="26" spans="2:17" s="43" customFormat="1" ht="30" customHeight="1">
      <c r="E26" s="44"/>
      <c r="H26" s="63"/>
      <c r="L26" s="180"/>
      <c r="M26" s="183"/>
      <c r="N26" s="196"/>
      <c r="Q26" s="238"/>
    </row>
    <row r="27" spans="2:17" s="43" customFormat="1" ht="30" customHeight="1">
      <c r="E27" s="44"/>
      <c r="H27" s="63"/>
      <c r="L27" s="180"/>
      <c r="M27" s="183"/>
      <c r="N27" s="196"/>
      <c r="Q27" s="238"/>
    </row>
    <row r="28" spans="2:17" s="43" customFormat="1" ht="30" customHeight="1">
      <c r="E28" s="44"/>
      <c r="H28" s="63"/>
      <c r="L28" s="180"/>
      <c r="M28" s="183"/>
      <c r="N28" s="196"/>
      <c r="Q28" s="238"/>
    </row>
    <row r="29" spans="2:17" s="43" customFormat="1" ht="30" customHeight="1">
      <c r="E29" s="44"/>
      <c r="H29" s="63"/>
      <c r="L29" s="180"/>
      <c r="M29" s="183"/>
      <c r="N29" s="196"/>
      <c r="Q29" s="238"/>
    </row>
    <row r="30" spans="2:17" s="43" customFormat="1" ht="30" customHeight="1">
      <c r="E30" s="44"/>
      <c r="H30" s="63"/>
      <c r="L30" s="180"/>
      <c r="M30" s="183"/>
      <c r="N30" s="196"/>
      <c r="Q30" s="238"/>
    </row>
  </sheetData>
  <mergeCells count="2">
    <mergeCell ref="I2:J2"/>
    <mergeCell ref="M4:O4"/>
  </mergeCells>
  <dataValidations count="2">
    <dataValidation allowBlank="1" showInputMessage="1" showErrorMessage="1" prompt="Enter employee names in the employee name table in this worksheet. These names are used as options in Column B of each month's absence table" sqref="B2"/>
    <dataValidation allowBlank="1" showInputMessage="1" showErrorMessage="1" prompt="Enter employee names in this column" sqref="C4"/>
  </dataValidations>
  <pageMargins left="0.7" right="0.7" top="0.75" bottom="0.75" header="0.3" footer="0.3"/>
  <pageSetup paperSize="9" scale="84" orientation="landscape" horizontalDpi="200" verticalDpi="20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30"/>
  <sheetViews>
    <sheetView topLeftCell="C4" workbookViewId="0">
      <selection activeCell="P11" sqref="P11"/>
    </sheetView>
  </sheetViews>
  <sheetFormatPr defaultColWidth="8.77734375" defaultRowHeight="15.6"/>
  <cols>
    <col min="1" max="1" width="2" customWidth="1"/>
    <col min="2" max="2" width="3.88671875" customWidth="1"/>
    <col min="3" max="3" width="39.109375" bestFit="1" customWidth="1"/>
    <col min="4" max="4" width="16.77734375" customWidth="1"/>
    <col min="5" max="5" width="14.5546875" style="44" bestFit="1" customWidth="1"/>
    <col min="6" max="6" width="10.6640625" bestFit="1" customWidth="1"/>
    <col min="7" max="7" width="9.6640625" bestFit="1" customWidth="1"/>
    <col min="8" max="8" width="7.33203125" style="65" bestFit="1" customWidth="1"/>
    <col min="9" max="9" width="9.21875" bestFit="1" customWidth="1"/>
    <col min="10" max="10" width="8.5546875" bestFit="1" customWidth="1"/>
    <col min="11" max="11" width="10.5546875" customWidth="1"/>
    <col min="12" max="12" width="12.88671875" style="180" customWidth="1"/>
    <col min="13" max="13" width="20.5546875" style="255" customWidth="1"/>
    <col min="14" max="14" width="32.33203125" style="199" customWidth="1"/>
    <col min="16" max="16" width="18.6640625" customWidth="1"/>
    <col min="17" max="17" width="16.44140625" style="239" customWidth="1"/>
  </cols>
  <sheetData>
    <row r="2" spans="2:17" s="43" customFormat="1" ht="23.4" customHeight="1">
      <c r="C2" s="45" t="s">
        <v>63</v>
      </c>
      <c r="E2" s="44"/>
      <c r="H2" s="181" t="e">
        <f>I4/J4</f>
        <v>#DIV/0!</v>
      </c>
      <c r="I2" s="331" t="s">
        <v>82</v>
      </c>
      <c r="J2" s="332"/>
      <c r="K2" s="183"/>
      <c r="L2" s="180"/>
      <c r="M2" s="183"/>
      <c r="N2" s="196"/>
      <c r="Q2" s="238"/>
    </row>
    <row r="3" spans="2:17" s="43" customFormat="1" ht="15" customHeight="1">
      <c r="E3" s="44"/>
      <c r="H3" s="63"/>
      <c r="I3" s="75" t="s">
        <v>83</v>
      </c>
      <c r="J3" s="184" t="s">
        <v>84</v>
      </c>
      <c r="K3" s="185" t="s">
        <v>85</v>
      </c>
      <c r="L3" s="180"/>
      <c r="M3" s="183"/>
      <c r="N3" s="196"/>
      <c r="Q3" s="238"/>
    </row>
    <row r="4" spans="2:17" s="43" customFormat="1" ht="30" customHeight="1">
      <c r="B4" s="153" t="s">
        <v>125</v>
      </c>
      <c r="C4" s="43" t="s">
        <v>52</v>
      </c>
      <c r="D4" s="43" t="s">
        <v>79</v>
      </c>
      <c r="E4" s="53" t="s">
        <v>76</v>
      </c>
      <c r="F4" s="256" t="s">
        <v>77</v>
      </c>
      <c r="G4" s="256" t="s">
        <v>78</v>
      </c>
      <c r="H4" s="66" t="s">
        <v>81</v>
      </c>
      <c r="I4" s="55"/>
      <c r="J4" s="68">
        <f>SUM(J5:J23)</f>
        <v>0</v>
      </c>
      <c r="K4" s="68">
        <f>SUM(K5:K23)</f>
        <v>0</v>
      </c>
      <c r="L4" s="193"/>
      <c r="M4" s="333" t="s">
        <v>141</v>
      </c>
      <c r="N4" s="333"/>
      <c r="O4" s="333"/>
      <c r="P4" s="208" t="s">
        <v>174</v>
      </c>
      <c r="Q4" s="240"/>
    </row>
    <row r="5" spans="2:17" s="43" customFormat="1" ht="16.2" customHeight="1">
      <c r="B5" s="43">
        <v>1</v>
      </c>
      <c r="C5" s="155" t="s">
        <v>116</v>
      </c>
      <c r="D5" s="157">
        <f t="shared" ref="D5:D21" si="0">SUM(E5:K5)</f>
        <v>10000000</v>
      </c>
      <c r="E5" s="55">
        <v>10000000</v>
      </c>
      <c r="F5" s="56"/>
      <c r="G5" s="56"/>
      <c r="H5" s="67"/>
      <c r="I5" s="69"/>
      <c r="J5" s="68"/>
      <c r="K5" s="68"/>
      <c r="L5" s="193" t="s">
        <v>127</v>
      </c>
      <c r="M5" s="195" t="s">
        <v>164</v>
      </c>
      <c r="N5" s="198" t="s">
        <v>165</v>
      </c>
      <c r="O5" s="194" t="s">
        <v>140</v>
      </c>
      <c r="P5" s="68"/>
      <c r="Q5" s="240"/>
    </row>
    <row r="6" spans="2:17" s="43" customFormat="1" ht="16.2" customHeight="1">
      <c r="B6" s="43">
        <v>2</v>
      </c>
      <c r="C6" s="30" t="s">
        <v>121</v>
      </c>
      <c r="D6" s="157">
        <f t="shared" si="0"/>
        <v>9000000</v>
      </c>
      <c r="E6" s="55">
        <v>9000000</v>
      </c>
      <c r="F6" s="56"/>
      <c r="G6" s="56"/>
      <c r="H6" s="67"/>
      <c r="I6" s="69"/>
      <c r="J6" s="68"/>
      <c r="K6" s="68"/>
      <c r="L6" s="193" t="s">
        <v>134</v>
      </c>
      <c r="M6" s="195"/>
      <c r="N6" s="197"/>
      <c r="O6" s="68"/>
      <c r="P6" s="68"/>
      <c r="Q6" s="240"/>
    </row>
    <row r="7" spans="2:17" s="43" customFormat="1" ht="16.2" customHeight="1">
      <c r="B7" s="43">
        <v>3</v>
      </c>
      <c r="C7" s="46" t="s">
        <v>117</v>
      </c>
      <c r="D7" s="157">
        <f t="shared" si="0"/>
        <v>5000000</v>
      </c>
      <c r="E7" s="55">
        <v>5000000</v>
      </c>
      <c r="F7" s="56"/>
      <c r="G7" s="56"/>
      <c r="H7" s="67"/>
      <c r="I7" s="69"/>
      <c r="J7" s="68"/>
      <c r="K7" s="68"/>
      <c r="L7" s="193" t="s">
        <v>135</v>
      </c>
      <c r="M7" s="195" t="s">
        <v>162</v>
      </c>
      <c r="N7" s="198" t="s">
        <v>163</v>
      </c>
      <c r="O7" s="194" t="s">
        <v>140</v>
      </c>
      <c r="P7" s="68"/>
      <c r="Q7" s="240"/>
    </row>
    <row r="8" spans="2:17" s="43" customFormat="1" ht="16.2" customHeight="1">
      <c r="B8" s="43">
        <v>4</v>
      </c>
      <c r="C8" s="46" t="s">
        <v>118</v>
      </c>
      <c r="D8" s="157">
        <f t="shared" si="0"/>
        <v>2000000</v>
      </c>
      <c r="E8" s="55">
        <v>2000000</v>
      </c>
      <c r="F8" s="56"/>
      <c r="G8" s="56"/>
      <c r="H8" s="67"/>
      <c r="I8" s="69"/>
      <c r="J8" s="68"/>
      <c r="K8" s="68"/>
      <c r="L8" s="193" t="s">
        <v>128</v>
      </c>
      <c r="M8" s="195" t="s">
        <v>160</v>
      </c>
      <c r="N8" s="198" t="s">
        <v>161</v>
      </c>
      <c r="O8" s="194" t="s">
        <v>140</v>
      </c>
      <c r="P8" s="68"/>
      <c r="Q8" s="240"/>
    </row>
    <row r="9" spans="2:17" s="43" customFormat="1" ht="16.2" customHeight="1">
      <c r="B9" s="43">
        <v>5</v>
      </c>
      <c r="C9" s="156" t="s">
        <v>124</v>
      </c>
      <c r="D9" s="157">
        <f t="shared" si="0"/>
        <v>7500000</v>
      </c>
      <c r="E9" s="55">
        <v>7500000</v>
      </c>
      <c r="F9" s="56"/>
      <c r="G9" s="56"/>
      <c r="H9" s="67"/>
      <c r="I9" s="69"/>
      <c r="J9" s="68"/>
      <c r="K9" s="68"/>
      <c r="L9" s="193" t="s">
        <v>129</v>
      </c>
      <c r="M9" s="195">
        <v>2201232467120</v>
      </c>
      <c r="N9" s="198" t="s">
        <v>157</v>
      </c>
      <c r="O9" s="194" t="s">
        <v>140</v>
      </c>
      <c r="P9" s="209">
        <v>45926</v>
      </c>
      <c r="Q9" s="240"/>
    </row>
    <row r="10" spans="2:17" s="43" customFormat="1" ht="16.2" customHeight="1">
      <c r="B10" s="43">
        <v>6</v>
      </c>
      <c r="C10" s="200" t="s">
        <v>172</v>
      </c>
      <c r="D10" s="179">
        <f t="shared" si="0"/>
        <v>4990000</v>
      </c>
      <c r="E10" s="55">
        <v>4500000</v>
      </c>
      <c r="F10" s="56">
        <v>440000</v>
      </c>
      <c r="G10" s="56">
        <v>50000</v>
      </c>
      <c r="H10" s="67"/>
      <c r="I10" s="69"/>
      <c r="J10" s="68"/>
      <c r="K10" s="68"/>
      <c r="L10" s="193" t="s">
        <v>130</v>
      </c>
      <c r="M10" s="195" t="s">
        <v>142</v>
      </c>
      <c r="N10" s="198" t="s">
        <v>143</v>
      </c>
      <c r="O10" s="194" t="s">
        <v>140</v>
      </c>
      <c r="P10" s="209">
        <v>45962</v>
      </c>
      <c r="Q10" s="240"/>
    </row>
    <row r="11" spans="2:17" s="43" customFormat="1" ht="16.2" customHeight="1">
      <c r="B11" s="43">
        <v>7</v>
      </c>
      <c r="C11" s="192" t="s">
        <v>171</v>
      </c>
      <c r="D11" s="157">
        <f t="shared" si="0"/>
        <v>5615000</v>
      </c>
      <c r="E11" s="55">
        <v>5125000</v>
      </c>
      <c r="F11" s="56">
        <v>440000</v>
      </c>
      <c r="G11" s="56">
        <v>50000</v>
      </c>
      <c r="H11" s="67"/>
      <c r="I11" s="69"/>
      <c r="J11" s="68"/>
      <c r="K11" s="68"/>
      <c r="L11" s="193" t="s">
        <v>132</v>
      </c>
      <c r="M11" s="195" t="s">
        <v>158</v>
      </c>
      <c r="N11" s="254" t="s">
        <v>159</v>
      </c>
      <c r="O11" s="194" t="s">
        <v>140</v>
      </c>
      <c r="P11" s="68"/>
      <c r="Q11" s="240"/>
    </row>
    <row r="12" spans="2:17" s="43" customFormat="1" ht="16.2" customHeight="1">
      <c r="B12" s="43">
        <v>8</v>
      </c>
      <c r="C12" s="192" t="s">
        <v>154</v>
      </c>
      <c r="D12" s="62">
        <f t="shared" si="0"/>
        <v>4730000</v>
      </c>
      <c r="E12" s="55">
        <v>4250000</v>
      </c>
      <c r="F12" s="56">
        <v>440000</v>
      </c>
      <c r="G12" s="56">
        <v>40000</v>
      </c>
      <c r="H12" s="67"/>
      <c r="I12" s="69"/>
      <c r="J12" s="68"/>
      <c r="K12" s="68"/>
      <c r="L12" s="193" t="s">
        <v>132</v>
      </c>
      <c r="M12" s="195" t="s">
        <v>155</v>
      </c>
      <c r="N12" s="198" t="s">
        <v>156</v>
      </c>
      <c r="O12" s="194" t="s">
        <v>140</v>
      </c>
      <c r="P12" s="209">
        <v>45971</v>
      </c>
      <c r="Q12" s="240"/>
    </row>
    <row r="13" spans="2:17" s="89" customFormat="1" ht="16.2" customHeight="1">
      <c r="B13" s="89">
        <v>9</v>
      </c>
      <c r="C13" s="259" t="s">
        <v>170</v>
      </c>
      <c r="D13" s="242">
        <f t="shared" si="0"/>
        <v>5990000</v>
      </c>
      <c r="E13" s="243">
        <v>5500000</v>
      </c>
      <c r="F13" s="244">
        <v>440000</v>
      </c>
      <c r="G13" s="244">
        <v>50000</v>
      </c>
      <c r="H13" s="245"/>
      <c r="I13" s="246"/>
      <c r="J13" s="247"/>
      <c r="K13" s="247"/>
      <c r="L13" s="244" t="s">
        <v>132</v>
      </c>
      <c r="M13" s="248" t="s">
        <v>166</v>
      </c>
      <c r="N13" s="249"/>
      <c r="O13" s="247"/>
      <c r="P13" s="247"/>
      <c r="Q13" s="251"/>
    </row>
    <row r="14" spans="2:17" s="43" customFormat="1" ht="16.2" customHeight="1">
      <c r="B14" s="43">
        <v>10</v>
      </c>
      <c r="C14" s="192"/>
      <c r="D14" s="62">
        <f>SUM(E14:K14)</f>
        <v>0</v>
      </c>
      <c r="E14" s="55"/>
      <c r="F14" s="56"/>
      <c r="G14" s="56"/>
      <c r="H14" s="67"/>
      <c r="I14" s="69"/>
      <c r="J14" s="68"/>
      <c r="K14" s="68"/>
      <c r="L14" s="193"/>
      <c r="M14" s="195"/>
      <c r="N14" s="197"/>
      <c r="O14" s="68"/>
      <c r="P14" s="68"/>
      <c r="Q14" s="240"/>
    </row>
    <row r="15" spans="2:17" s="43" customFormat="1" ht="16.2" customHeight="1">
      <c r="B15" s="43">
        <v>11</v>
      </c>
      <c r="C15" s="192"/>
      <c r="D15" s="62">
        <f>SUM(E15:K15)</f>
        <v>0</v>
      </c>
      <c r="E15" s="55"/>
      <c r="F15" s="56"/>
      <c r="G15" s="56"/>
      <c r="H15" s="67"/>
      <c r="I15" s="69"/>
      <c r="J15" s="68"/>
      <c r="K15" s="68"/>
      <c r="L15" s="193"/>
      <c r="M15" s="195"/>
      <c r="N15" s="197"/>
      <c r="O15" s="68"/>
      <c r="P15" s="68"/>
      <c r="Q15" s="240"/>
    </row>
    <row r="16" spans="2:17" s="43" customFormat="1" ht="16.2" customHeight="1">
      <c r="B16" s="43">
        <v>12</v>
      </c>
      <c r="C16" s="191" t="s">
        <v>148</v>
      </c>
      <c r="D16" s="157">
        <f t="shared" si="0"/>
        <v>4980000</v>
      </c>
      <c r="E16" s="55">
        <v>4500000</v>
      </c>
      <c r="F16" s="56">
        <v>440000</v>
      </c>
      <c r="G16" s="56">
        <v>40000</v>
      </c>
      <c r="H16" s="67"/>
      <c r="I16" s="69"/>
      <c r="J16" s="68"/>
      <c r="K16" s="68"/>
      <c r="L16" s="193" t="s">
        <v>131</v>
      </c>
      <c r="M16" s="195" t="s">
        <v>149</v>
      </c>
      <c r="N16" s="198" t="s">
        <v>150</v>
      </c>
      <c r="O16" s="194" t="s">
        <v>140</v>
      </c>
      <c r="P16" s="209">
        <v>45971</v>
      </c>
      <c r="Q16" s="240"/>
    </row>
    <row r="17" spans="1:17" s="43" customFormat="1" ht="16.2" customHeight="1">
      <c r="B17" s="43">
        <v>13</v>
      </c>
      <c r="C17" s="192" t="s">
        <v>137</v>
      </c>
      <c r="D17" s="179">
        <f t="shared" si="0"/>
        <v>4980000</v>
      </c>
      <c r="E17" s="55">
        <v>4500000</v>
      </c>
      <c r="F17" s="56">
        <v>440000</v>
      </c>
      <c r="G17" s="56">
        <v>40000</v>
      </c>
      <c r="H17" s="67"/>
      <c r="I17" s="69"/>
      <c r="J17" s="68"/>
      <c r="K17" s="68"/>
      <c r="L17" s="193" t="s">
        <v>131</v>
      </c>
      <c r="M17" s="195" t="s">
        <v>138</v>
      </c>
      <c r="N17" s="198" t="s">
        <v>139</v>
      </c>
      <c r="O17" s="194" t="s">
        <v>140</v>
      </c>
      <c r="P17" s="209">
        <v>45971</v>
      </c>
      <c r="Q17" s="240"/>
    </row>
    <row r="18" spans="1:17" s="43" customFormat="1" ht="16.2" customHeight="1">
      <c r="B18" s="43">
        <v>14</v>
      </c>
      <c r="C18" s="191" t="s">
        <v>169</v>
      </c>
      <c r="D18" s="179">
        <f t="shared" si="0"/>
        <v>4980000</v>
      </c>
      <c r="E18" s="55">
        <v>4500000</v>
      </c>
      <c r="F18" s="56">
        <v>440000</v>
      </c>
      <c r="G18" s="56">
        <v>40000</v>
      </c>
      <c r="H18" s="67"/>
      <c r="I18" s="69"/>
      <c r="J18" s="68"/>
      <c r="K18" s="68"/>
      <c r="L18" s="193" t="s">
        <v>131</v>
      </c>
      <c r="M18" s="195" t="s">
        <v>167</v>
      </c>
      <c r="N18" s="198" t="s">
        <v>168</v>
      </c>
      <c r="O18" s="194" t="s">
        <v>140</v>
      </c>
      <c r="P18" s="209">
        <v>45972</v>
      </c>
      <c r="Q18" s="240"/>
    </row>
    <row r="19" spans="1:17" s="43" customFormat="1" ht="16.2" customHeight="1">
      <c r="B19" s="43">
        <v>15</v>
      </c>
      <c r="C19" s="191" t="s">
        <v>147</v>
      </c>
      <c r="D19" s="157">
        <f t="shared" si="0"/>
        <v>4730000</v>
      </c>
      <c r="E19" s="55">
        <v>4250000</v>
      </c>
      <c r="F19" s="56">
        <v>440000</v>
      </c>
      <c r="G19" s="56">
        <v>40000</v>
      </c>
      <c r="H19" s="67"/>
      <c r="I19" s="69"/>
      <c r="J19" s="68"/>
      <c r="K19" s="68"/>
      <c r="L19" s="193" t="s">
        <v>126</v>
      </c>
      <c r="M19" s="195" t="s">
        <v>166</v>
      </c>
      <c r="N19" s="197"/>
      <c r="O19" s="68"/>
      <c r="P19" s="209">
        <v>45971</v>
      </c>
      <c r="Q19" s="240"/>
    </row>
    <row r="20" spans="1:17" s="43" customFormat="1" ht="16.2" customHeight="1">
      <c r="B20" s="43">
        <v>16</v>
      </c>
      <c r="C20" s="192" t="s">
        <v>153</v>
      </c>
      <c r="D20" s="179">
        <f t="shared" si="0"/>
        <v>4730000</v>
      </c>
      <c r="E20" s="55">
        <v>4250000</v>
      </c>
      <c r="F20" s="56">
        <v>440000</v>
      </c>
      <c r="G20" s="56">
        <v>40000</v>
      </c>
      <c r="H20" s="67"/>
      <c r="I20" s="69"/>
      <c r="J20" s="68"/>
      <c r="K20" s="68"/>
      <c r="L20" s="193" t="s">
        <v>126</v>
      </c>
      <c r="M20" s="195" t="s">
        <v>152</v>
      </c>
      <c r="N20" s="198" t="s">
        <v>151</v>
      </c>
      <c r="O20" s="194" t="s">
        <v>140</v>
      </c>
      <c r="P20" s="209">
        <v>45971</v>
      </c>
      <c r="Q20" s="240"/>
    </row>
    <row r="21" spans="1:17" s="43" customFormat="1" ht="16.2" customHeight="1">
      <c r="B21" s="43">
        <v>17</v>
      </c>
      <c r="C21" s="192" t="s">
        <v>144</v>
      </c>
      <c r="D21" s="179">
        <f t="shared" si="0"/>
        <v>4730000</v>
      </c>
      <c r="E21" s="55">
        <v>4250000</v>
      </c>
      <c r="F21" s="56">
        <v>440000</v>
      </c>
      <c r="G21" s="56">
        <v>40000</v>
      </c>
      <c r="H21" s="67"/>
      <c r="I21" s="69"/>
      <c r="J21" s="68"/>
      <c r="K21" s="68"/>
      <c r="L21" s="193" t="s">
        <v>126</v>
      </c>
      <c r="M21" s="195" t="s">
        <v>145</v>
      </c>
      <c r="N21" s="198" t="s">
        <v>146</v>
      </c>
      <c r="O21" s="194" t="s">
        <v>140</v>
      </c>
      <c r="P21" s="209">
        <v>45971</v>
      </c>
      <c r="Q21" s="240"/>
    </row>
    <row r="22" spans="1:17" s="43" customFormat="1" ht="16.2" customHeight="1">
      <c r="B22" s="43">
        <v>18</v>
      </c>
      <c r="C22" s="237" t="s">
        <v>186</v>
      </c>
      <c r="D22" s="179">
        <f>SUM(E22:K22)</f>
        <v>1500000</v>
      </c>
      <c r="E22" s="55">
        <v>1500000</v>
      </c>
      <c r="F22" s="56"/>
      <c r="G22" s="56"/>
      <c r="H22" s="67"/>
      <c r="I22" s="69"/>
      <c r="J22" s="68"/>
      <c r="K22" s="68"/>
      <c r="L22" s="193" t="s">
        <v>133</v>
      </c>
      <c r="M22" s="195" t="s">
        <v>189</v>
      </c>
      <c r="N22" s="252" t="s">
        <v>188</v>
      </c>
      <c r="O22" s="253" t="s">
        <v>140</v>
      </c>
      <c r="P22" s="209">
        <v>45994</v>
      </c>
      <c r="Q22" s="240"/>
    </row>
    <row r="23" spans="1:17" s="89" customFormat="1" ht="16.2" customHeight="1">
      <c r="A23" s="89" t="s">
        <v>33</v>
      </c>
      <c r="B23" s="43">
        <v>19</v>
      </c>
      <c r="C23" s="241" t="s">
        <v>173</v>
      </c>
      <c r="D23" s="242">
        <f t="shared" ref="D23" si="1">SUM(E23:K23)</f>
        <v>4000000</v>
      </c>
      <c r="E23" s="243">
        <v>4000000</v>
      </c>
      <c r="F23" s="244"/>
      <c r="G23" s="244"/>
      <c r="H23" s="245"/>
      <c r="I23" s="246"/>
      <c r="J23" s="247"/>
      <c r="K23" s="247"/>
      <c r="L23" s="244" t="s">
        <v>133</v>
      </c>
      <c r="M23" s="248" t="s">
        <v>166</v>
      </c>
      <c r="N23" s="249"/>
      <c r="O23" s="247"/>
      <c r="P23" s="250">
        <v>45962</v>
      </c>
      <c r="Q23" s="251" t="s">
        <v>187</v>
      </c>
    </row>
    <row r="24" spans="1:17" s="43" customFormat="1" ht="16.2" customHeight="1">
      <c r="B24" s="182" t="s">
        <v>136</v>
      </c>
      <c r="C24" s="186"/>
      <c r="D24" s="187">
        <f>SUM(EmployeeName6[Column1])</f>
        <v>89455000</v>
      </c>
      <c r="E24" s="55"/>
      <c r="F24" s="56"/>
      <c r="G24" s="56"/>
      <c r="H24" s="67"/>
      <c r="I24" s="69"/>
      <c r="J24" s="68"/>
      <c r="K24" s="68"/>
      <c r="L24" s="193"/>
      <c r="M24" s="256"/>
      <c r="N24" s="197"/>
      <c r="O24" s="68"/>
      <c r="P24" s="68"/>
      <c r="Q24" s="240"/>
    </row>
    <row r="25" spans="1:17" s="43" customFormat="1" ht="30" customHeight="1">
      <c r="E25" s="44"/>
      <c r="H25" s="63"/>
      <c r="L25" s="180"/>
      <c r="M25" s="183"/>
      <c r="N25" s="196"/>
      <c r="Q25" s="238"/>
    </row>
    <row r="26" spans="1:17" s="43" customFormat="1" ht="30" customHeight="1">
      <c r="E26" s="44"/>
      <c r="H26" s="63"/>
      <c r="L26" s="180"/>
      <c r="M26" s="183"/>
      <c r="N26" s="196"/>
      <c r="Q26" s="238"/>
    </row>
    <row r="27" spans="1:17" s="43" customFormat="1" ht="30" customHeight="1">
      <c r="E27" s="44"/>
      <c r="H27" s="63"/>
      <c r="L27" s="180"/>
      <c r="M27" s="183"/>
      <c r="N27" s="196"/>
      <c r="Q27" s="238"/>
    </row>
    <row r="28" spans="1:17" s="43" customFormat="1" ht="30" customHeight="1">
      <c r="E28" s="44"/>
      <c r="H28" s="63"/>
      <c r="L28" s="180"/>
      <c r="M28" s="183"/>
      <c r="N28" s="196"/>
      <c r="Q28" s="238"/>
    </row>
    <row r="29" spans="1:17" s="43" customFormat="1" ht="30" customHeight="1">
      <c r="E29" s="44"/>
      <c r="H29" s="63"/>
      <c r="L29" s="180"/>
      <c r="M29" s="183"/>
      <c r="N29" s="196"/>
      <c r="Q29" s="238"/>
    </row>
    <row r="30" spans="1:17" s="43" customFormat="1" ht="30" customHeight="1">
      <c r="E30" s="44"/>
      <c r="H30" s="63"/>
      <c r="L30" s="180"/>
      <c r="M30" s="183"/>
      <c r="N30" s="196"/>
      <c r="Q30" s="238"/>
    </row>
  </sheetData>
  <mergeCells count="2">
    <mergeCell ref="I2:J2"/>
    <mergeCell ref="M4:O4"/>
  </mergeCells>
  <dataValidations count="2">
    <dataValidation allowBlank="1" showInputMessage="1" showErrorMessage="1" prompt="Enter employee names in this column" sqref="C4"/>
    <dataValidation allowBlank="1" showInputMessage="1" showErrorMessage="1" prompt="Enter employee names in the employee name table in this worksheet. These names are used as options in Column B of each month's absence table" sqref="B2"/>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F058CA-AF0F-4794-AA37-06C85ADD9B08}">
  <ds:schemaRefs>
    <ds:schemaRef ds:uri="http://schemas.microsoft.com/sharepoint/v3/contenttype/forms"/>
  </ds:schemaRefs>
</ds:datastoreItem>
</file>

<file path=customXml/itemProps2.xml><?xml version="1.0" encoding="utf-8"?>
<ds:datastoreItem xmlns:ds="http://schemas.openxmlformats.org/officeDocument/2006/customXml" ds:itemID="{A7C9C07F-CF0F-4409-BAA3-C354F11EB275}">
  <ds:schemaRefs>
    <ds:schemaRef ds:uri="16c05727-aa75-4e4a-9b5f-8a80a1165891"/>
    <ds:schemaRef ds:uri="http://schemas.microsoft.com/office/2006/metadata/properties"/>
    <ds:schemaRef ds:uri="http://schemas.openxmlformats.org/package/2006/metadata/core-properties"/>
    <ds:schemaRef ds:uri="http://purl.org/dc/terms/"/>
    <ds:schemaRef ds:uri="http://schemas.microsoft.com/office/2006/documentManagement/types"/>
    <ds:schemaRef ds:uri="http://www.w3.org/XML/1998/namespace"/>
    <ds:schemaRef ds:uri="http://schemas.microsoft.com/office/infopath/2007/PartnerControls"/>
    <ds:schemaRef ds:uri="230e9df3-be65-4c73-a93b-d1236ebd677e"/>
    <ds:schemaRef ds:uri="71af3243-3dd4-4a8d-8c0d-dd76da1f02a5"/>
    <ds:schemaRef ds:uri="http://schemas.microsoft.com/sharepoint/v3"/>
    <ds:schemaRef ds:uri="http://purl.org/dc/dcmitype/"/>
    <ds:schemaRef ds:uri="http://purl.org/dc/elements/1.1/"/>
  </ds:schemaRefs>
</ds:datastoreItem>
</file>

<file path=customXml/itemProps3.xml><?xml version="1.0" encoding="utf-8"?>
<ds:datastoreItem xmlns:ds="http://schemas.openxmlformats.org/officeDocument/2006/customXml" ds:itemID="{57E6EC00-C2D4-4219-8EFE-E4A250F3C6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TM03987167</Template>
  <Application>Microsoft Excel</Application>
  <DocSecurity>0</DocSecurity>
  <ScaleCrop>false</ScaleCrop>
  <HeadingPairs>
    <vt:vector size="4" baseType="variant">
      <vt:variant>
        <vt:lpstr>Worksheets</vt:lpstr>
      </vt:variant>
      <vt:variant>
        <vt:i4>15</vt:i4>
      </vt:variant>
      <vt:variant>
        <vt:lpstr>Named Ranges</vt:lpstr>
      </vt:variant>
      <vt:variant>
        <vt:i4>52</vt:i4>
      </vt:variant>
    </vt:vector>
  </HeadingPairs>
  <TitlesOfParts>
    <vt:vector size="67" baseType="lpstr">
      <vt:lpstr>January</vt:lpstr>
      <vt:lpstr>February</vt:lpstr>
      <vt:lpstr>March</vt:lpstr>
      <vt:lpstr>April</vt:lpstr>
      <vt:lpstr>May</vt:lpstr>
      <vt:lpstr>June</vt:lpstr>
      <vt:lpstr>July</vt:lpstr>
      <vt:lpstr>August</vt:lpstr>
      <vt:lpstr>September</vt:lpstr>
      <vt:lpstr>October</vt:lpstr>
      <vt:lpstr>November</vt:lpstr>
      <vt:lpstr>December</vt:lpstr>
      <vt:lpstr>Jan</vt:lpstr>
      <vt:lpstr>Employee names</vt:lpstr>
      <vt:lpstr>Sheet1</vt:lpstr>
      <vt:lpstr>CalendarYear</vt:lpstr>
      <vt:lpstr>ColumnTitle13</vt:lpstr>
      <vt:lpstr>Employee_Absence_Title</vt:lpstr>
      <vt:lpstr>Key_name</vt:lpstr>
      <vt:lpstr>KeyCustom1</vt:lpstr>
      <vt:lpstr>KeyCustom1Label</vt:lpstr>
      <vt:lpstr>KeyCustom2</vt:lpstr>
      <vt:lpstr>KeyCustom2Label</vt:lpstr>
      <vt:lpstr>KeyPersonal</vt:lpstr>
      <vt:lpstr>KeyPersonalLabel</vt:lpstr>
      <vt:lpstr>KeySick</vt:lpstr>
      <vt:lpstr>KeySickLabel</vt:lpstr>
      <vt:lpstr>KeyVacation</vt:lpstr>
      <vt:lpstr>KeyVacationLabel</vt:lpstr>
      <vt:lpstr>April!MonthName</vt:lpstr>
      <vt:lpstr>August!MonthName</vt:lpstr>
      <vt:lpstr>December!MonthName</vt:lpstr>
      <vt:lpstr>February!MonthName</vt:lpstr>
      <vt:lpstr>Jan!MonthName</vt:lpstr>
      <vt:lpstr>January!MonthName</vt:lpstr>
      <vt:lpstr>July!MonthName</vt:lpstr>
      <vt:lpstr>June!MonthName</vt:lpstr>
      <vt:lpstr>March!MonthName</vt:lpstr>
      <vt:lpstr>May!MonthName</vt:lpstr>
      <vt:lpstr>November!MonthName</vt:lpstr>
      <vt:lpstr>October!MonthName</vt:lpstr>
      <vt:lpstr>September!MonthName</vt:lpstr>
      <vt:lpstr>'Employee names'!Print_Area</vt:lpstr>
      <vt:lpstr>Jan!Print_Area</vt:lpstr>
      <vt:lpstr>November!Print_Area</vt:lpstr>
      <vt:lpstr>April!Print_Titles</vt:lpstr>
      <vt:lpstr>August!Print_Titles</vt:lpstr>
      <vt:lpstr>December!Print_Titles</vt:lpstr>
      <vt:lpstr>February!Print_Titles</vt:lpstr>
      <vt:lpstr>January!Print_Titles</vt:lpstr>
      <vt:lpstr>July!Print_Titles</vt:lpstr>
      <vt:lpstr>June!Print_Titles</vt:lpstr>
      <vt:lpstr>March!Print_Titles</vt:lpstr>
      <vt:lpstr>May!Print_Titles</vt:lpstr>
      <vt:lpstr>November!Print_Titles</vt:lpstr>
      <vt:lpstr>October!Print_Titles</vt:lpstr>
      <vt:lpstr>September!Print_Titles</vt:lpstr>
      <vt:lpstr>Title1</vt:lpstr>
      <vt:lpstr>Title10</vt:lpstr>
      <vt:lpstr>Title11</vt:lpstr>
      <vt:lpstr>Title12</vt:lpstr>
      <vt:lpstr>Title2</vt:lpstr>
      <vt:lpstr>Title3</vt:lpstr>
      <vt:lpstr>Title6</vt:lpstr>
      <vt:lpstr>Title7</vt:lpstr>
      <vt:lpstr>Title8</vt:lpstr>
      <vt:lpstr>Title9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2023-01-31T06:59:27Z</dcterms:created>
  <dcterms:modified xsi:type="dcterms:W3CDTF">2026-01-27T05:17:11Z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