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Oulaivanh Doc\2025-2026\ເອກະສານບໍລິຫານ\Salary\"/>
    </mc:Choice>
  </mc:AlternateContent>
  <xr:revisionPtr revIDLastSave="0" documentId="13_ncr:1_{070716E4-0673-4302-AF03-A63C4330AB5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5" i="1" l="1"/>
  <c r="J22" i="1"/>
  <c r="J21" i="1"/>
  <c r="J20" i="1"/>
  <c r="J19" i="1"/>
  <c r="J18" i="1"/>
  <c r="J17" i="1"/>
  <c r="J16" i="1"/>
  <c r="D23" i="1"/>
  <c r="J11" i="1"/>
  <c r="I13" i="1"/>
  <c r="J12" i="1"/>
  <c r="J13" i="1" l="1"/>
  <c r="J14" i="1"/>
  <c r="J15" i="1"/>
  <c r="D24" i="1" l="1"/>
  <c r="I22" i="1"/>
  <c r="H22" i="1"/>
  <c r="D22" i="1"/>
  <c r="I21" i="1"/>
  <c r="H21" i="1"/>
  <c r="D21" i="1"/>
  <c r="I20" i="1"/>
  <c r="H20" i="1"/>
  <c r="D20" i="1"/>
  <c r="I19" i="1"/>
  <c r="H19" i="1"/>
  <c r="D19" i="1"/>
  <c r="I18" i="1"/>
  <c r="H18" i="1"/>
  <c r="D18" i="1"/>
  <c r="I17" i="1"/>
  <c r="H17" i="1"/>
  <c r="D17" i="1"/>
  <c r="I16" i="1"/>
  <c r="H16" i="1"/>
  <c r="D16" i="1"/>
  <c r="I15" i="1"/>
  <c r="D15" i="1"/>
  <c r="I14" i="1"/>
  <c r="D14" i="1"/>
  <c r="D13" i="1"/>
  <c r="I12" i="1"/>
  <c r="D12" i="1"/>
  <c r="I11" i="1"/>
  <c r="H11" i="1"/>
  <c r="D11" i="1"/>
  <c r="I10" i="1"/>
  <c r="H10" i="1"/>
  <c r="D10" i="1"/>
  <c r="D9" i="1"/>
  <c r="D8" i="1"/>
  <c r="D7" i="1"/>
  <c r="D6" i="1"/>
  <c r="M4" i="1"/>
  <c r="L4" i="1"/>
</calcChain>
</file>

<file path=xl/sharedStrings.xml><?xml version="1.0" encoding="utf-8"?>
<sst xmlns="http://schemas.openxmlformats.org/spreadsheetml/2006/main" count="112" uniqueCount="87">
  <si>
    <t>Employee names</t>
  </si>
  <si>
    <t>Commission in May</t>
  </si>
  <si>
    <t>Payment</t>
  </si>
  <si>
    <t>Total day</t>
  </si>
  <si>
    <t>Commission</t>
  </si>
  <si>
    <t>NO</t>
  </si>
  <si>
    <t>Employee Names</t>
  </si>
  <si>
    <t>Column1</t>
  </si>
  <si>
    <t>Salary</t>
  </si>
  <si>
    <t>Meal</t>
  </si>
  <si>
    <t>Phone</t>
  </si>
  <si>
    <t>Account Name</t>
  </si>
  <si>
    <t>Day start work</t>
  </si>
  <si>
    <t>Sat</t>
  </si>
  <si>
    <t>Sun</t>
  </si>
  <si>
    <t>Mr. SOMPHONE XAYASA</t>
  </si>
  <si>
    <t>CEO</t>
  </si>
  <si>
    <t>010120000323774 001</t>
  </si>
  <si>
    <t>SOMPHONE XAYASA MR</t>
  </si>
  <si>
    <t>BCEL</t>
  </si>
  <si>
    <t>N/A</t>
  </si>
  <si>
    <t xml:space="preserve">Mss. CHAMPA LUANGAPHAI </t>
  </si>
  <si>
    <t>CFO</t>
  </si>
  <si>
    <t xml:space="preserve">018 1206740315 </t>
  </si>
  <si>
    <t>CHAMPA LUANGAPHAI MRS</t>
  </si>
  <si>
    <t>MISS. SOUKSAKHONE CHONPATHOUMA</t>
  </si>
  <si>
    <t>CHR</t>
  </si>
  <si>
    <t>010120000147973 001</t>
  </si>
  <si>
    <t>SOUKSAKHONE CHONPATHOUMA MS</t>
  </si>
  <si>
    <t>Mr. KHAMLAR CHITTAMANY</t>
  </si>
  <si>
    <t>CONS</t>
  </si>
  <si>
    <t>160120000031308 001</t>
  </si>
  <si>
    <t>KHAMLAR CHITTAMANY MR</t>
  </si>
  <si>
    <t>MS. OULAYVANH NGAVINAM</t>
  </si>
  <si>
    <t>ASS</t>
  </si>
  <si>
    <t>OULAIVANH NGAVINAM MS</t>
  </si>
  <si>
    <t xml:space="preserve">MS. VILAYPHONE VONGPHACKDE </t>
  </si>
  <si>
    <t>ACC</t>
  </si>
  <si>
    <t>098120002000662 001</t>
  </si>
  <si>
    <t>VILAYPHONE VONGPHUKDEE MS</t>
  </si>
  <si>
    <t>TECH</t>
  </si>
  <si>
    <t>Mr.  SOMPHONE KEOPHILAVANH (Olay)</t>
  </si>
  <si>
    <t>2221241489 533</t>
  </si>
  <si>
    <t>SOMPHONE KEOPHILAVANH MR</t>
  </si>
  <si>
    <t>Mr. SONEPHET VIPHOMMA</t>
  </si>
  <si>
    <t>221 12 09696743</t>
  </si>
  <si>
    <t>SONEPHET VIPHOMMA MR</t>
  </si>
  <si>
    <t>Mr. SATHEUAN MEUANGPHAUNE (NOK)</t>
  </si>
  <si>
    <t>010 12 0000531056 001</t>
  </si>
  <si>
    <t>SATHEUAN MEUANGPHAUNE  MR</t>
  </si>
  <si>
    <t>Cash</t>
  </si>
  <si>
    <t>MR. PHONEPASERT MALAVONG (Dido)</t>
  </si>
  <si>
    <t>DRIVER</t>
  </si>
  <si>
    <t>222 12 19862872</t>
  </si>
  <si>
    <t>PHONEPASERT MALAVONG MR</t>
  </si>
  <si>
    <t>Mr. THAVONE CHANTHY (Add)</t>
  </si>
  <si>
    <t>2221241426 220</t>
  </si>
  <si>
    <t>THAVONE CHANTHY MR</t>
  </si>
  <si>
    <t>Mr.KHANKHAM MARAVONG (Kol)</t>
  </si>
  <si>
    <t>010120000300443 001</t>
  </si>
  <si>
    <t>KHANKHAM MALAVONG MR</t>
  </si>
  <si>
    <t>Mr. SUKAN MUENXAYYAPHOM (Yao)</t>
  </si>
  <si>
    <t>Pro + WH</t>
  </si>
  <si>
    <t>112120000447687 001</t>
  </si>
  <si>
    <t>SUKAN MUENXAYYAPHOM MR</t>
  </si>
  <si>
    <t>Mr. KITTIPHONG SEESOULASACK (beer)</t>
  </si>
  <si>
    <t>Merchandiser</t>
  </si>
  <si>
    <t>Mr. PHOUTTHASONE SILIPANYA (Too)</t>
  </si>
  <si>
    <t>1501234315 049</t>
  </si>
  <si>
    <t>PHOUTTHASONE SILIPANYA MR</t>
  </si>
  <si>
    <t>222120001754213 001</t>
  </si>
  <si>
    <t>SOUKSAVANH PHANNIVONGSOR MR</t>
  </si>
  <si>
    <t>MRS. DET THESAVONG</t>
  </si>
  <si>
    <t>HK</t>
  </si>
  <si>
    <t>010120000270485 001</t>
  </si>
  <si>
    <t>DET THESAVONG MRS</t>
  </si>
  <si>
    <t>Sum</t>
  </si>
  <si>
    <t>ບໍ່ໄດ້ສະແກນປ້ຳໂປ້</t>
  </si>
  <si>
    <t>ຕັດເງິນມາວຽກຊ້າ / ນາທີ</t>
  </si>
  <si>
    <t>ທີມງານທີ່ມາວຽກ 26 ວັນ 09:00 - 18:00</t>
  </si>
  <si>
    <t>ເຂົ້າວຽກ 08:00 - 17:00</t>
  </si>
  <si>
    <t>ເຂົ້າວຽກ 10:00 - 19:00</t>
  </si>
  <si>
    <t>Mr. Souksumlarn(LOIY)</t>
  </si>
  <si>
    <t>Mr. SOUKSAVANH PHANNIVONGSOR (Top)</t>
  </si>
  <si>
    <t>IT support</t>
  </si>
  <si>
    <t>Aiy To</t>
  </si>
  <si>
    <r>
      <t>OT /</t>
    </r>
    <r>
      <rPr>
        <sz val="11"/>
        <rFont val="Phetsarath OT"/>
      </rPr>
      <t xml:space="preserve"> ຊົ່ວໂມງ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</si>
</sst>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name val="Phetsarath OT"/>
    </font>
    <font>
      <b/>
      <sz val="18"/>
      <name val="Calibri"/>
      <family val="2"/>
      <scheme val="minor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>
      <alignment horizontal="left" vertical="center" wrapText="1" indent="2"/>
    </xf>
  </cellStyleXfs>
  <cellXfs count="51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indent="1"/>
    </xf>
    <xf numFmtId="0" fontId="3" fillId="0" borderId="0" xfId="0" applyFont="1" applyAlignment="1">
      <alignment vertical="center" wrapText="1"/>
    </xf>
    <xf numFmtId="43" fontId="3" fillId="0" borderId="0" xfId="0" applyNumberFormat="1" applyFont="1" applyAlignment="1">
      <alignment horizontal="left" vertical="center" wrapText="1" indent="2"/>
    </xf>
    <xf numFmtId="0" fontId="3" fillId="0" borderId="0" xfId="0" applyFont="1" applyFill="1" applyAlignment="1">
      <alignment horizontal="left" vertical="center"/>
    </xf>
    <xf numFmtId="43" fontId="3" fillId="0" borderId="1" xfId="1" applyFont="1" applyFill="1" applyBorder="1" applyAlignment="1">
      <alignment horizontal="left" vertical="center"/>
    </xf>
    <xf numFmtId="164" fontId="3" fillId="0" borderId="1" xfId="1" applyNumberFormat="1" applyFont="1" applyFill="1" applyBorder="1" applyAlignment="1">
      <alignment horizontal="left" vertical="center"/>
    </xf>
    <xf numFmtId="164" fontId="3" fillId="0" borderId="2" xfId="1" applyNumberFormat="1" applyFont="1" applyFill="1" applyBorder="1" applyAlignment="1">
      <alignment horizontal="center" vertical="center"/>
    </xf>
    <xf numFmtId="43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3" fontId="3" fillId="2" borderId="0" xfId="3" applyNumberFormat="1" applyFont="1" applyFill="1">
      <alignment horizontal="left" vertical="center" wrapText="1" indent="2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/>
    <xf numFmtId="43" fontId="3" fillId="3" borderId="0" xfId="3" applyNumberFormat="1" applyFont="1" applyFill="1">
      <alignment horizontal="left" vertical="center" wrapText="1" indent="2"/>
    </xf>
    <xf numFmtId="0" fontId="3" fillId="3" borderId="0" xfId="3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/>
    </xf>
    <xf numFmtId="0" fontId="3" fillId="4" borderId="0" xfId="3" applyFont="1" applyFill="1" applyAlignment="1">
      <alignment vertical="center" wrapText="1"/>
    </xf>
    <xf numFmtId="43" fontId="3" fillId="4" borderId="0" xfId="3" applyNumberFormat="1" applyFont="1" applyFill="1">
      <alignment horizontal="left" vertical="center" wrapText="1" indent="2"/>
    </xf>
    <xf numFmtId="0" fontId="3" fillId="2" borderId="0" xfId="3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3" applyFont="1" applyFill="1" applyAlignment="1">
      <alignment vertical="center" wrapText="1"/>
    </xf>
    <xf numFmtId="43" fontId="3" fillId="5" borderId="0" xfId="3" applyNumberFormat="1" applyFont="1" applyFill="1">
      <alignment horizontal="left" vertical="center" wrapText="1" indent="2"/>
    </xf>
    <xf numFmtId="0" fontId="3" fillId="5" borderId="0" xfId="3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43" fontId="3" fillId="0" borderId="0" xfId="1" applyFont="1" applyFill="1" applyAlignment="1">
      <alignment horizontal="left" vertical="center"/>
    </xf>
    <xf numFmtId="164" fontId="3" fillId="0" borderId="0" xfId="1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43" fontId="4" fillId="0" borderId="0" xfId="1" applyFont="1" applyFill="1" applyAlignment="1">
      <alignment horizontal="left" vertical="center"/>
    </xf>
    <xf numFmtId="164" fontId="4" fillId="0" borderId="0" xfId="1" applyNumberFormat="1" applyFont="1" applyFill="1" applyAlignment="1">
      <alignment horizontal="center" vertical="center"/>
    </xf>
    <xf numFmtId="164" fontId="4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</cellXfs>
  <cellStyles count="4">
    <cellStyle name="Comma" xfId="1" builtinId="3"/>
    <cellStyle name="Employee" xfId="3" xr:uid="{00000000-0005-0000-0000-000001000000}"/>
    <cellStyle name="Normal" xfId="0" builtinId="0"/>
    <cellStyle name="Title" xfId="2" builtinId="1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alignment horizontal="left" vertical="center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ill>
        <patternFill patternType="solid">
          <fgColor theme="5" tint="0.39994506668294322"/>
          <bgColor theme="5" tint="0.39991454817346722"/>
        </patternFill>
      </fill>
      <border diagonalUp="0" diagonalDown="0">
        <left/>
        <right/>
        <top style="thin">
          <color theme="5" tint="0.59996337778862885"/>
        </top>
        <bottom style="thick">
          <color theme="5"/>
        </bottom>
        <vertical style="thick">
          <color theme="0"/>
        </vertical>
        <horizontal style="thin">
          <color theme="5" tint="0.59996337778862885"/>
        </horizontal>
      </border>
    </dxf>
    <dxf>
      <font>
        <color theme="1"/>
      </font>
      <fill>
        <patternFill patternType="solid">
          <fgColor theme="5" tint="0.39994506668294322"/>
          <bgColor theme="5" tint="0.39991454817346722"/>
        </patternFill>
      </fill>
      <border diagonalUp="0" diagonalDown="0">
        <left/>
        <right/>
        <top style="thin">
          <color theme="5" tint="0.59996337778862885"/>
        </top>
        <bottom style="thick">
          <color theme="5"/>
        </bottom>
        <vertical style="thick">
          <color theme="0"/>
        </vertical>
        <horizontal style="thin">
          <color theme="5" tint="0.59996337778862885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5" tint="0.59996337778862885"/>
        </top>
        <bottom style="thin">
          <color theme="5" tint="0.59996337778862885"/>
        </bottom>
        <vertical/>
        <horizontal style="thin">
          <color theme="5" tint="0.59996337778862885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5" tint="0.59996337778862885"/>
        </top>
        <bottom style="thin">
          <color theme="5" tint="0.59996337778862885"/>
        </bottom>
        <vertical/>
        <horizontal style="thin">
          <color theme="5" tint="0.59996337778862885"/>
        </horizontal>
      </border>
    </dxf>
    <dxf>
      <fill>
        <patternFill>
          <bgColor theme="5" tint="0.79998168889431442"/>
        </patternFill>
      </fill>
      <border>
        <top style="thick">
          <color theme="0"/>
        </top>
        <bottom style="thick">
          <color theme="0"/>
        </bottom>
        <horizontal style="thick">
          <color theme="0"/>
        </horizontal>
      </border>
    </dxf>
    <dxf>
      <fill>
        <patternFill patternType="none">
          <fgColor auto="1"/>
          <bgColor auto="1"/>
        </patternFill>
      </fill>
      <border>
        <top style="thick">
          <color theme="0"/>
        </top>
        <bottom style="thick">
          <color theme="0"/>
        </bottom>
        <horizontal style="thick">
          <color theme="0"/>
        </horizontal>
      </border>
    </dxf>
    <dxf>
      <font>
        <color auto="1"/>
      </font>
      <fill>
        <patternFill>
          <fgColor theme="5" tint="0.39994506668294322"/>
          <bgColor theme="5" tint="0.3999145481734672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5" tint="0.59996337778862885"/>
        </top>
        <bottom style="thick">
          <color theme="5"/>
        </bottom>
        <vertical style="thick">
          <color theme="0"/>
        </vertical>
        <horizontal style="thin">
          <color theme="5" tint="0.59996337778862885"/>
        </horizontal>
      </border>
    </dxf>
    <dxf>
      <font>
        <color theme="0"/>
      </font>
      <fill>
        <patternFill>
          <fgColor theme="5" tint="-0.24994659260841701"/>
          <bgColor theme="5" tint="-0.24994659260841701"/>
        </patternFill>
      </fill>
      <border>
        <top style="thin">
          <color theme="5" tint="0.59996337778862885"/>
        </top>
        <bottom style="thin">
          <color theme="5" tint="0.59996337778862885"/>
        </bottom>
        <horizontal style="thin">
          <color theme="5" tint="0.59996337778862885"/>
        </horizontal>
      </border>
    </dxf>
    <dxf>
      <font>
        <b/>
        <i val="0"/>
        <color auto="1"/>
      </font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Employee Absence Table" pivot="0" count="9" xr9:uid="{00000000-0011-0000-FFFF-FFFF00000000}">
      <tableStyleElement type="wholeTable" dxfId="15"/>
      <tableStyleElement type="headerRow" dxfId="14"/>
      <tableStyleElement type="totalRow" dxfId="13"/>
      <tableStyleElement type="firstRowStripe" dxfId="12"/>
      <tableStyleElement type="secondRowStripe" dxfId="11"/>
      <tableStyleElement type="firstHeaderCell" dxfId="10"/>
      <tableStyleElement type="lastHeaderCell" dxfId="9"/>
      <tableStyleElement type="firstTotalCell" dxfId="8"/>
      <tableStyleElement type="lastTotalCell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Name" displayName="EmployeeName" ref="C4:D25" totalsRowCount="1" headerRowDxfId="6" dataDxfId="5" totalsRowDxfId="4" dataCellStyle="Employee">
  <autoFilter ref="C4:D24" xr:uid="{00000000-0009-0000-0100-000001000000}"/>
  <tableColumns count="2">
    <tableColumn id="1" xr3:uid="{00000000-0010-0000-0000-000001000000}" name="Employee Names" dataDxfId="3" totalsRowDxfId="1" dataCellStyle="Employee"/>
    <tableColumn id="2" xr3:uid="{00000000-0010-0000-0000-000002000000}" name="Column1" totalsRowFunction="custom" dataDxfId="2" totalsRowDxfId="0" dataCellStyle="Employee">
      <calculatedColumnFormula>SUM(E5:M5)</calculatedColumnFormula>
      <totalsRowFormula>SUM(EmployeeName[Column1])</totalsRow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Summary="Enter employee names in this table. These names are used as options in each month's absence schedule columm B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5"/>
  <sheetViews>
    <sheetView tabSelected="1" topLeftCell="C1" workbookViewId="0">
      <selection activeCell="H3" sqref="H3"/>
    </sheetView>
  </sheetViews>
  <sheetFormatPr defaultColWidth="8.77734375" defaultRowHeight="15.6" x14ac:dyDescent="0.3"/>
  <cols>
    <col min="1" max="1" width="2" style="1" customWidth="1"/>
    <col min="2" max="2" width="3.88671875" style="1" customWidth="1"/>
    <col min="3" max="3" width="44.33203125" style="1" customWidth="1"/>
    <col min="4" max="4" width="17.44140625" style="1" bestFit="1" customWidth="1"/>
    <col min="5" max="5" width="14.5546875" style="35" customWidth="1"/>
    <col min="6" max="6" width="10.6640625" style="6" customWidth="1"/>
    <col min="7" max="7" width="9.6640625" style="6" customWidth="1"/>
    <col min="8" max="9" width="14.77734375" style="36" customWidth="1"/>
    <col min="10" max="10" width="21.77734375" style="36" customWidth="1"/>
    <col min="11" max="11" width="9.21875" style="6" hidden="1" customWidth="1"/>
    <col min="12" max="12" width="8.5546875" style="6" hidden="1" customWidth="1"/>
    <col min="13" max="13" width="10.5546875" style="6" hidden="1" customWidth="1"/>
    <col min="14" max="14" width="12.88671875" style="37" customWidth="1"/>
    <col min="15" max="15" width="21.88671875" style="38" bestFit="1" customWidth="1"/>
    <col min="16" max="16" width="32.33203125" style="6" customWidth="1"/>
    <col min="17" max="17" width="8.77734375" style="6"/>
    <col min="18" max="18" width="18.6640625" style="6" customWidth="1"/>
    <col min="19" max="19" width="16.44140625" style="39" customWidth="1"/>
    <col min="20" max="16384" width="8.77734375" style="1"/>
  </cols>
  <sheetData>
    <row r="1" spans="2:19" ht="30" customHeight="1" x14ac:dyDescent="0.3"/>
    <row r="2" spans="2:19" ht="23.4" customHeight="1" x14ac:dyDescent="0.45">
      <c r="C2" s="3" t="s">
        <v>0</v>
      </c>
      <c r="H2" s="40"/>
      <c r="I2" s="40"/>
      <c r="J2" s="40"/>
      <c r="K2" s="41" t="s">
        <v>1</v>
      </c>
      <c r="L2" s="41"/>
      <c r="M2" s="38"/>
    </row>
    <row r="3" spans="2:19" ht="15" customHeight="1" x14ac:dyDescent="0.3">
      <c r="K3" s="42" t="s">
        <v>2</v>
      </c>
      <c r="L3" s="43" t="s">
        <v>3</v>
      </c>
      <c r="M3" s="43" t="s">
        <v>4</v>
      </c>
    </row>
    <row r="4" spans="2:19" ht="30" customHeight="1" x14ac:dyDescent="0.3">
      <c r="B4" s="1" t="s">
        <v>5</v>
      </c>
      <c r="C4" s="1" t="s">
        <v>6</v>
      </c>
      <c r="D4" s="1" t="s">
        <v>7</v>
      </c>
      <c r="E4" s="42" t="s">
        <v>8</v>
      </c>
      <c r="F4" s="43" t="s">
        <v>9</v>
      </c>
      <c r="G4" s="43" t="s">
        <v>10</v>
      </c>
      <c r="H4" s="44" t="s">
        <v>86</v>
      </c>
      <c r="I4" s="45"/>
      <c r="J4" s="46" t="s">
        <v>78</v>
      </c>
      <c r="K4" s="7"/>
      <c r="L4" s="11">
        <f>SUM(L6:L24)</f>
        <v>0</v>
      </c>
      <c r="M4" s="11">
        <f>SUM(M6:M24)</f>
        <v>0</v>
      </c>
      <c r="N4" s="8"/>
      <c r="O4" s="41" t="s">
        <v>11</v>
      </c>
      <c r="P4" s="41"/>
      <c r="Q4" s="41"/>
      <c r="R4" s="11" t="s">
        <v>12</v>
      </c>
      <c r="S4" s="13"/>
    </row>
    <row r="5" spans="2:19" ht="10.8" customHeight="1" x14ac:dyDescent="0.3">
      <c r="E5" s="42"/>
      <c r="F5" s="43"/>
      <c r="G5" s="43"/>
      <c r="H5" s="9" t="s">
        <v>13</v>
      </c>
      <c r="I5" s="9" t="s">
        <v>14</v>
      </c>
      <c r="J5" s="9"/>
      <c r="K5" s="7"/>
      <c r="L5" s="11"/>
      <c r="M5" s="11"/>
      <c r="N5" s="8"/>
      <c r="O5" s="43"/>
      <c r="P5" s="43"/>
      <c r="Q5" s="43"/>
      <c r="R5" s="11"/>
      <c r="S5" s="13"/>
    </row>
    <row r="6" spans="2:19" ht="16.2" customHeight="1" x14ac:dyDescent="0.3">
      <c r="B6" s="18">
        <v>1</v>
      </c>
      <c r="C6" s="19" t="s">
        <v>15</v>
      </c>
      <c r="D6" s="20">
        <f>SUM(E6:G6)</f>
        <v>10000000</v>
      </c>
      <c r="E6" s="7">
        <v>10000000</v>
      </c>
      <c r="F6" s="8"/>
      <c r="G6" s="8"/>
      <c r="H6" s="9"/>
      <c r="I6" s="9"/>
      <c r="J6" s="9"/>
      <c r="K6" s="10"/>
      <c r="L6" s="11"/>
      <c r="M6" s="11"/>
      <c r="N6" s="8" t="s">
        <v>16</v>
      </c>
      <c r="O6" s="12" t="s">
        <v>17</v>
      </c>
      <c r="P6" s="11" t="s">
        <v>18</v>
      </c>
      <c r="Q6" s="11" t="s">
        <v>19</v>
      </c>
      <c r="R6" s="11" t="s">
        <v>20</v>
      </c>
      <c r="S6" s="13"/>
    </row>
    <row r="7" spans="2:19" ht="16.2" customHeight="1" x14ac:dyDescent="0.3">
      <c r="B7" s="18">
        <v>2</v>
      </c>
      <c r="C7" s="21" t="s">
        <v>21</v>
      </c>
      <c r="D7" s="20">
        <f t="shared" ref="D7:D24" si="0">SUM(E7:G7)</f>
        <v>9000000</v>
      </c>
      <c r="E7" s="7">
        <v>9000000</v>
      </c>
      <c r="F7" s="8"/>
      <c r="G7" s="8"/>
      <c r="H7" s="9"/>
      <c r="I7" s="9"/>
      <c r="J7" s="9"/>
      <c r="K7" s="10"/>
      <c r="L7" s="11"/>
      <c r="M7" s="11"/>
      <c r="N7" s="8" t="s">
        <v>22</v>
      </c>
      <c r="O7" s="12" t="s">
        <v>23</v>
      </c>
      <c r="P7" s="11" t="s">
        <v>24</v>
      </c>
      <c r="Q7" s="11" t="s">
        <v>19</v>
      </c>
      <c r="R7" s="14">
        <v>46017</v>
      </c>
      <c r="S7" s="13"/>
    </row>
    <row r="8" spans="2:19" ht="16.2" customHeight="1" x14ac:dyDescent="0.3">
      <c r="B8" s="18">
        <v>3</v>
      </c>
      <c r="C8" s="19" t="s">
        <v>25</v>
      </c>
      <c r="D8" s="20">
        <f t="shared" si="0"/>
        <v>5000000</v>
      </c>
      <c r="E8" s="7">
        <v>5000000</v>
      </c>
      <c r="F8" s="8"/>
      <c r="G8" s="8"/>
      <c r="H8" s="9"/>
      <c r="I8" s="9"/>
      <c r="J8" s="9"/>
      <c r="K8" s="10"/>
      <c r="L8" s="11"/>
      <c r="M8" s="11"/>
      <c r="N8" s="8" t="s">
        <v>26</v>
      </c>
      <c r="O8" s="12" t="s">
        <v>27</v>
      </c>
      <c r="P8" s="11" t="s">
        <v>28</v>
      </c>
      <c r="Q8" s="11" t="s">
        <v>19</v>
      </c>
      <c r="R8" s="11" t="s">
        <v>20</v>
      </c>
      <c r="S8" s="13"/>
    </row>
    <row r="9" spans="2:19" ht="16.2" customHeight="1" x14ac:dyDescent="0.3">
      <c r="B9" s="18">
        <v>4</v>
      </c>
      <c r="C9" s="19" t="s">
        <v>29</v>
      </c>
      <c r="D9" s="20">
        <f t="shared" si="0"/>
        <v>2000000</v>
      </c>
      <c r="E9" s="7">
        <v>2000000</v>
      </c>
      <c r="F9" s="8"/>
      <c r="G9" s="8"/>
      <c r="H9" s="9"/>
      <c r="I9" s="9"/>
      <c r="J9" s="9"/>
      <c r="K9" s="10"/>
      <c r="L9" s="11"/>
      <c r="M9" s="11"/>
      <c r="N9" s="8" t="s">
        <v>30</v>
      </c>
      <c r="O9" s="12" t="s">
        <v>31</v>
      </c>
      <c r="P9" s="11" t="s">
        <v>32</v>
      </c>
      <c r="Q9" s="11" t="s">
        <v>19</v>
      </c>
      <c r="R9" s="11" t="s">
        <v>20</v>
      </c>
      <c r="S9" s="13"/>
    </row>
    <row r="10" spans="2:19" ht="16.2" customHeight="1" x14ac:dyDescent="0.3">
      <c r="B10" s="18">
        <v>5</v>
      </c>
      <c r="C10" s="22" t="s">
        <v>33</v>
      </c>
      <c r="D10" s="20">
        <f t="shared" si="0"/>
        <v>7500000</v>
      </c>
      <c r="E10" s="7">
        <v>7500000</v>
      </c>
      <c r="F10" s="8"/>
      <c r="G10" s="8"/>
      <c r="H10" s="9">
        <f>(((E10/22)/8)*150%)*100%</f>
        <v>63920.454545454544</v>
      </c>
      <c r="I10" s="9">
        <f>(((E10/22)/8)*250%)*100%</f>
        <v>106534.0909090909</v>
      </c>
      <c r="J10" s="9"/>
      <c r="K10" s="10"/>
      <c r="L10" s="11"/>
      <c r="M10" s="11"/>
      <c r="N10" s="8" t="s">
        <v>34</v>
      </c>
      <c r="O10" s="12">
        <v>2201232467120</v>
      </c>
      <c r="P10" s="11" t="s">
        <v>35</v>
      </c>
      <c r="Q10" s="11" t="s">
        <v>19</v>
      </c>
      <c r="R10" s="14">
        <v>45926</v>
      </c>
      <c r="S10" s="13"/>
    </row>
    <row r="11" spans="2:19" s="6" customFormat="1" ht="16.2" customHeight="1" x14ac:dyDescent="0.3">
      <c r="B11" s="15">
        <v>6</v>
      </c>
      <c r="C11" s="17" t="s">
        <v>36</v>
      </c>
      <c r="D11" s="16">
        <f t="shared" si="0"/>
        <v>4990000</v>
      </c>
      <c r="E11" s="7">
        <v>4500000</v>
      </c>
      <c r="F11" s="8">
        <v>440000</v>
      </c>
      <c r="G11" s="8">
        <v>50000</v>
      </c>
      <c r="H11" s="9">
        <f t="shared" ref="H11:H22" si="1">(((E11/22)/8)*150%)*100%</f>
        <v>38352.272727272728</v>
      </c>
      <c r="I11" s="9">
        <f t="shared" ref="I11:I22" si="2">(((E11/22)/8)*250%)*100%</f>
        <v>63920.454545454551</v>
      </c>
      <c r="J11" s="9">
        <f>(((E11/22)/8)/60)</f>
        <v>426.13636363636368</v>
      </c>
      <c r="K11" s="10"/>
      <c r="L11" s="11"/>
      <c r="M11" s="11"/>
      <c r="N11" s="8" t="s">
        <v>37</v>
      </c>
      <c r="O11" s="12" t="s">
        <v>38</v>
      </c>
      <c r="P11" s="11" t="s">
        <v>39</v>
      </c>
      <c r="Q11" s="11" t="s">
        <v>19</v>
      </c>
      <c r="R11" s="14">
        <v>45962</v>
      </c>
      <c r="S11" s="13"/>
    </row>
    <row r="12" spans="2:19" s="6" customFormat="1" ht="16.2" customHeight="1" x14ac:dyDescent="0.3">
      <c r="B12" s="23">
        <v>7</v>
      </c>
      <c r="C12" s="24" t="s">
        <v>41</v>
      </c>
      <c r="D12" s="25">
        <f t="shared" si="0"/>
        <v>4730000</v>
      </c>
      <c r="E12" s="7">
        <v>4250000</v>
      </c>
      <c r="F12" s="8">
        <v>440000</v>
      </c>
      <c r="G12" s="8">
        <v>40000</v>
      </c>
      <c r="H12" s="9"/>
      <c r="I12" s="9">
        <f t="shared" ref="I12:I15" si="3">(((E12/26)/8)*250%)*100%</f>
        <v>51081.730769230773</v>
      </c>
      <c r="J12" s="9">
        <f>(((E12/26)/8)/60)</f>
        <v>340.54487179487182</v>
      </c>
      <c r="K12" s="10"/>
      <c r="L12" s="11"/>
      <c r="M12" s="11"/>
      <c r="N12" s="8" t="s">
        <v>40</v>
      </c>
      <c r="O12" s="12" t="s">
        <v>42</v>
      </c>
      <c r="P12" s="11" t="s">
        <v>43</v>
      </c>
      <c r="Q12" s="11" t="s">
        <v>19</v>
      </c>
      <c r="R12" s="14">
        <v>45971</v>
      </c>
      <c r="S12" s="13"/>
    </row>
    <row r="13" spans="2:19" s="6" customFormat="1" ht="16.2" customHeight="1" x14ac:dyDescent="0.3">
      <c r="B13" s="23">
        <v>8</v>
      </c>
      <c r="C13" s="24" t="s">
        <v>44</v>
      </c>
      <c r="D13" s="25">
        <f t="shared" si="0"/>
        <v>5700000</v>
      </c>
      <c r="E13" s="7">
        <v>5220000</v>
      </c>
      <c r="F13" s="8">
        <v>440000</v>
      </c>
      <c r="G13" s="8">
        <v>40000</v>
      </c>
      <c r="H13" s="9"/>
      <c r="I13" s="9">
        <f>(((E13/26)/8)*250%)*100%</f>
        <v>62740.384615384617</v>
      </c>
      <c r="J13" s="9">
        <f t="shared" ref="J13:J15" si="4">(((E13/26)/8)/60)</f>
        <v>418.26923076923077</v>
      </c>
      <c r="K13" s="10"/>
      <c r="L13" s="11"/>
      <c r="M13" s="11"/>
      <c r="N13" s="8" t="s">
        <v>40</v>
      </c>
      <c r="O13" s="12" t="s">
        <v>45</v>
      </c>
      <c r="P13" s="11" t="s">
        <v>46</v>
      </c>
      <c r="Q13" s="11" t="s">
        <v>19</v>
      </c>
      <c r="R13" s="14">
        <v>46030</v>
      </c>
      <c r="S13" s="13"/>
    </row>
    <row r="14" spans="2:19" s="6" customFormat="1" ht="16.2" customHeight="1" x14ac:dyDescent="0.3">
      <c r="B14" s="23">
        <v>9</v>
      </c>
      <c r="C14" s="24" t="s">
        <v>47</v>
      </c>
      <c r="D14" s="25">
        <f t="shared" si="0"/>
        <v>4730000</v>
      </c>
      <c r="E14" s="7">
        <v>4250000</v>
      </c>
      <c r="F14" s="8">
        <v>440000</v>
      </c>
      <c r="G14" s="8">
        <v>40000</v>
      </c>
      <c r="H14" s="9"/>
      <c r="I14" s="9">
        <f t="shared" si="3"/>
        <v>51081.730769230773</v>
      </c>
      <c r="J14" s="9">
        <f t="shared" si="4"/>
        <v>340.54487179487182</v>
      </c>
      <c r="K14" s="10"/>
      <c r="L14" s="11"/>
      <c r="M14" s="11"/>
      <c r="N14" s="8" t="s">
        <v>40</v>
      </c>
      <c r="O14" s="12" t="s">
        <v>48</v>
      </c>
      <c r="P14" s="11" t="s">
        <v>49</v>
      </c>
      <c r="Q14" s="11" t="s">
        <v>19</v>
      </c>
      <c r="R14" s="14">
        <v>46025</v>
      </c>
      <c r="S14" s="13"/>
    </row>
    <row r="15" spans="2:19" s="6" customFormat="1" ht="16.2" customHeight="1" x14ac:dyDescent="0.3">
      <c r="B15" s="23">
        <v>10</v>
      </c>
      <c r="C15" s="24" t="s">
        <v>82</v>
      </c>
      <c r="D15" s="25">
        <f t="shared" si="0"/>
        <v>4000000</v>
      </c>
      <c r="E15" s="7">
        <v>4000000</v>
      </c>
      <c r="F15" s="8"/>
      <c r="G15" s="8"/>
      <c r="H15" s="9"/>
      <c r="I15" s="9">
        <f t="shared" si="3"/>
        <v>48076.923076923078</v>
      </c>
      <c r="J15" s="9">
        <f t="shared" si="4"/>
        <v>320.5128205128205</v>
      </c>
      <c r="K15" s="10"/>
      <c r="L15" s="11"/>
      <c r="M15" s="11"/>
      <c r="N15" s="8" t="s">
        <v>40</v>
      </c>
      <c r="O15" s="12" t="s">
        <v>50</v>
      </c>
      <c r="P15" s="11"/>
      <c r="Q15" s="11"/>
      <c r="R15" s="14">
        <v>46034</v>
      </c>
      <c r="S15" s="13"/>
    </row>
    <row r="16" spans="2:19" s="30" customFormat="1" ht="16.2" customHeight="1" x14ac:dyDescent="0.3">
      <c r="B16" s="30">
        <v>11</v>
      </c>
      <c r="C16" s="31" t="s">
        <v>51</v>
      </c>
      <c r="D16" s="32">
        <f t="shared" si="0"/>
        <v>4980000</v>
      </c>
      <c r="E16" s="7">
        <v>4500000</v>
      </c>
      <c r="F16" s="8">
        <v>440000</v>
      </c>
      <c r="G16" s="8">
        <v>40000</v>
      </c>
      <c r="H16" s="9">
        <f t="shared" si="1"/>
        <v>38352.272727272728</v>
      </c>
      <c r="I16" s="9">
        <f t="shared" si="2"/>
        <v>63920.454545454551</v>
      </c>
      <c r="J16" s="9">
        <f>(((E16/22)/8)/60)</f>
        <v>426.13636363636368</v>
      </c>
      <c r="K16" s="10"/>
      <c r="L16" s="11"/>
      <c r="M16" s="11"/>
      <c r="N16" s="8" t="s">
        <v>52</v>
      </c>
      <c r="O16" s="12" t="s">
        <v>53</v>
      </c>
      <c r="P16" s="11" t="s">
        <v>54</v>
      </c>
      <c r="Q16" s="11" t="s">
        <v>19</v>
      </c>
      <c r="R16" s="14">
        <v>46017</v>
      </c>
      <c r="S16" s="13"/>
    </row>
    <row r="17" spans="2:19" s="30" customFormat="1" ht="16.2" customHeight="1" x14ac:dyDescent="0.3">
      <c r="B17" s="30">
        <v>12</v>
      </c>
      <c r="C17" s="33" t="s">
        <v>55</v>
      </c>
      <c r="D17" s="32">
        <f t="shared" si="0"/>
        <v>4980000</v>
      </c>
      <c r="E17" s="7">
        <v>4500000</v>
      </c>
      <c r="F17" s="8">
        <v>440000</v>
      </c>
      <c r="G17" s="8">
        <v>40000</v>
      </c>
      <c r="H17" s="9">
        <f t="shared" si="1"/>
        <v>38352.272727272728</v>
      </c>
      <c r="I17" s="9">
        <f t="shared" si="2"/>
        <v>63920.454545454551</v>
      </c>
      <c r="J17" s="9">
        <f>(((E17/22)/8)/60)</f>
        <v>426.13636363636368</v>
      </c>
      <c r="K17" s="10"/>
      <c r="L17" s="11"/>
      <c r="M17" s="11"/>
      <c r="N17" s="8" t="s">
        <v>52</v>
      </c>
      <c r="O17" s="12" t="s">
        <v>56</v>
      </c>
      <c r="P17" s="11" t="s">
        <v>57</v>
      </c>
      <c r="Q17" s="11" t="s">
        <v>19</v>
      </c>
      <c r="R17" s="14">
        <v>45971</v>
      </c>
      <c r="S17" s="13"/>
    </row>
    <row r="18" spans="2:19" s="30" customFormat="1" ht="16.2" customHeight="1" x14ac:dyDescent="0.3">
      <c r="B18" s="30">
        <v>13</v>
      </c>
      <c r="C18" s="31" t="s">
        <v>58</v>
      </c>
      <c r="D18" s="32">
        <f t="shared" si="0"/>
        <v>4980000</v>
      </c>
      <c r="E18" s="7">
        <v>4500000</v>
      </c>
      <c r="F18" s="8">
        <v>440000</v>
      </c>
      <c r="G18" s="8">
        <v>40000</v>
      </c>
      <c r="H18" s="9">
        <f t="shared" si="1"/>
        <v>38352.272727272728</v>
      </c>
      <c r="I18" s="9">
        <f t="shared" si="2"/>
        <v>63920.454545454551</v>
      </c>
      <c r="J18" s="9">
        <f>(((E18/22)/8)/60)</f>
        <v>426.13636363636368</v>
      </c>
      <c r="K18" s="10"/>
      <c r="L18" s="11"/>
      <c r="M18" s="11"/>
      <c r="N18" s="8" t="s">
        <v>52</v>
      </c>
      <c r="O18" s="12" t="s">
        <v>59</v>
      </c>
      <c r="P18" s="11" t="s">
        <v>60</v>
      </c>
      <c r="Q18" s="11" t="s">
        <v>19</v>
      </c>
      <c r="R18" s="14">
        <v>45971</v>
      </c>
      <c r="S18" s="13"/>
    </row>
    <row r="19" spans="2:19" s="6" customFormat="1" ht="16.2" customHeight="1" x14ac:dyDescent="0.3">
      <c r="B19" s="15">
        <v>14</v>
      </c>
      <c r="C19" s="26" t="s">
        <v>61</v>
      </c>
      <c r="D19" s="16">
        <f t="shared" si="0"/>
        <v>4980000</v>
      </c>
      <c r="E19" s="7">
        <v>4500000</v>
      </c>
      <c r="F19" s="8">
        <v>440000</v>
      </c>
      <c r="G19" s="8">
        <v>40000</v>
      </c>
      <c r="H19" s="9">
        <f t="shared" si="1"/>
        <v>38352.272727272728</v>
      </c>
      <c r="I19" s="9">
        <f t="shared" si="2"/>
        <v>63920.454545454551</v>
      </c>
      <c r="J19" s="9">
        <f>(((E19/22)/8)/60)</f>
        <v>426.13636363636368</v>
      </c>
      <c r="K19" s="10"/>
      <c r="L19" s="11"/>
      <c r="M19" s="11"/>
      <c r="N19" s="8" t="s">
        <v>62</v>
      </c>
      <c r="O19" s="12" t="s">
        <v>63</v>
      </c>
      <c r="P19" s="11" t="s">
        <v>64</v>
      </c>
      <c r="Q19" s="11" t="s">
        <v>19</v>
      </c>
      <c r="R19" s="14">
        <v>45972</v>
      </c>
      <c r="S19" s="13"/>
    </row>
    <row r="20" spans="2:19" s="30" customFormat="1" ht="16.2" customHeight="1" x14ac:dyDescent="0.3">
      <c r="B20" s="30">
        <v>15</v>
      </c>
      <c r="C20" s="33" t="s">
        <v>65</v>
      </c>
      <c r="D20" s="32">
        <f t="shared" si="0"/>
        <v>4730000</v>
      </c>
      <c r="E20" s="7">
        <v>4250000</v>
      </c>
      <c r="F20" s="8">
        <v>440000</v>
      </c>
      <c r="G20" s="8">
        <v>40000</v>
      </c>
      <c r="H20" s="9">
        <f t="shared" si="1"/>
        <v>36221.590909090912</v>
      </c>
      <c r="I20" s="9">
        <f t="shared" si="2"/>
        <v>60369.318181818177</v>
      </c>
      <c r="J20" s="9">
        <f>(((E20/22)/8)/60)</f>
        <v>402.46212121212119</v>
      </c>
      <c r="K20" s="10"/>
      <c r="L20" s="11"/>
      <c r="M20" s="11"/>
      <c r="N20" s="8" t="s">
        <v>66</v>
      </c>
      <c r="O20" s="12" t="s">
        <v>50</v>
      </c>
      <c r="P20" s="11"/>
      <c r="Q20" s="11"/>
      <c r="R20" s="14">
        <v>45971</v>
      </c>
      <c r="S20" s="13"/>
    </row>
    <row r="21" spans="2:19" s="30" customFormat="1" ht="16.2" customHeight="1" x14ac:dyDescent="0.3">
      <c r="B21" s="30">
        <v>16</v>
      </c>
      <c r="C21" s="31" t="s">
        <v>67</v>
      </c>
      <c r="D21" s="32">
        <f t="shared" si="0"/>
        <v>4730000</v>
      </c>
      <c r="E21" s="7">
        <v>4250000</v>
      </c>
      <c r="F21" s="8">
        <v>440000</v>
      </c>
      <c r="G21" s="8">
        <v>40000</v>
      </c>
      <c r="H21" s="9">
        <f t="shared" si="1"/>
        <v>36221.590909090912</v>
      </c>
      <c r="I21" s="9">
        <f t="shared" si="2"/>
        <v>60369.318181818177</v>
      </c>
      <c r="J21" s="9">
        <f>(((E21/22)/8)/60)</f>
        <v>402.46212121212119</v>
      </c>
      <c r="K21" s="10"/>
      <c r="L21" s="11"/>
      <c r="M21" s="11"/>
      <c r="N21" s="8" t="s">
        <v>66</v>
      </c>
      <c r="O21" s="12" t="s">
        <v>68</v>
      </c>
      <c r="P21" s="11" t="s">
        <v>69</v>
      </c>
      <c r="Q21" s="11" t="s">
        <v>19</v>
      </c>
      <c r="R21" s="14">
        <v>45971</v>
      </c>
      <c r="S21" s="13"/>
    </row>
    <row r="22" spans="2:19" s="30" customFormat="1" ht="16.2" customHeight="1" x14ac:dyDescent="0.3">
      <c r="B22" s="30">
        <v>17</v>
      </c>
      <c r="C22" s="31" t="s">
        <v>83</v>
      </c>
      <c r="D22" s="32">
        <f t="shared" si="0"/>
        <v>4730000</v>
      </c>
      <c r="E22" s="7">
        <v>4250000</v>
      </c>
      <c r="F22" s="8">
        <v>440000</v>
      </c>
      <c r="G22" s="8">
        <v>40000</v>
      </c>
      <c r="H22" s="9">
        <f t="shared" si="1"/>
        <v>36221.590909090912</v>
      </c>
      <c r="I22" s="9">
        <f t="shared" si="2"/>
        <v>60369.318181818177</v>
      </c>
      <c r="J22" s="9">
        <f>(((E22/22)/8)/60)</f>
        <v>402.46212121212119</v>
      </c>
      <c r="K22" s="10"/>
      <c r="L22" s="11"/>
      <c r="M22" s="11"/>
      <c r="N22" s="8" t="s">
        <v>66</v>
      </c>
      <c r="O22" s="12" t="s">
        <v>70</v>
      </c>
      <c r="P22" s="11" t="s">
        <v>71</v>
      </c>
      <c r="Q22" s="11" t="s">
        <v>19</v>
      </c>
      <c r="R22" s="14">
        <v>45971</v>
      </c>
      <c r="S22" s="13"/>
    </row>
    <row r="23" spans="2:19" s="30" customFormat="1" ht="16.2" customHeight="1" x14ac:dyDescent="0.3">
      <c r="B23" s="18">
        <v>18</v>
      </c>
      <c r="C23" s="21" t="s">
        <v>85</v>
      </c>
      <c r="D23" s="20">
        <f>SUM(E23:M23)</f>
        <v>4000000</v>
      </c>
      <c r="E23" s="7">
        <v>4000000</v>
      </c>
      <c r="F23" s="8"/>
      <c r="G23" s="8"/>
      <c r="H23" s="9"/>
      <c r="I23" s="9"/>
      <c r="J23" s="9"/>
      <c r="K23" s="10"/>
      <c r="L23" s="11"/>
      <c r="M23" s="11"/>
      <c r="N23" s="8" t="s">
        <v>84</v>
      </c>
      <c r="O23" s="12"/>
      <c r="P23" s="11"/>
      <c r="Q23" s="11"/>
      <c r="R23" s="14"/>
      <c r="S23" s="13"/>
    </row>
    <row r="24" spans="2:19" ht="16.2" customHeight="1" x14ac:dyDescent="0.3">
      <c r="B24" s="18">
        <v>19</v>
      </c>
      <c r="C24" s="21" t="s">
        <v>72</v>
      </c>
      <c r="D24" s="20">
        <f t="shared" si="0"/>
        <v>1500000</v>
      </c>
      <c r="E24" s="7">
        <v>1500000</v>
      </c>
      <c r="F24" s="8"/>
      <c r="G24" s="8"/>
      <c r="H24" s="9"/>
      <c r="I24" s="9"/>
      <c r="J24" s="9"/>
      <c r="K24" s="10"/>
      <c r="L24" s="11"/>
      <c r="M24" s="11"/>
      <c r="N24" s="8" t="s">
        <v>73</v>
      </c>
      <c r="O24" s="12" t="s">
        <v>74</v>
      </c>
      <c r="P24" s="11" t="s">
        <v>75</v>
      </c>
      <c r="Q24" s="11" t="s">
        <v>19</v>
      </c>
      <c r="R24" s="14">
        <v>45994</v>
      </c>
      <c r="S24" s="13"/>
    </row>
    <row r="25" spans="2:19" x14ac:dyDescent="0.3">
      <c r="B25" s="1" t="s">
        <v>76</v>
      </c>
      <c r="C25" s="4"/>
      <c r="D25" s="5">
        <f>SUM(EmployeeName[Column1])</f>
        <v>97260000</v>
      </c>
      <c r="E25" s="7"/>
      <c r="F25" s="8"/>
      <c r="G25" s="8"/>
      <c r="H25" s="9"/>
      <c r="I25" s="9"/>
      <c r="J25" s="9"/>
      <c r="K25" s="10"/>
      <c r="L25" s="11"/>
      <c r="M25" s="11"/>
      <c r="N25" s="8"/>
      <c r="O25" s="43"/>
      <c r="P25" s="11"/>
      <c r="Q25" s="11"/>
      <c r="R25" s="11"/>
      <c r="S25" s="13"/>
    </row>
    <row r="26" spans="2:19" s="2" customFormat="1" ht="30" customHeight="1" x14ac:dyDescent="0.3">
      <c r="E26" s="47"/>
      <c r="F26" s="39"/>
      <c r="G26" s="39"/>
      <c r="H26" s="48"/>
      <c r="I26" s="48"/>
      <c r="J26" s="48"/>
      <c r="K26" s="39"/>
      <c r="L26" s="39"/>
      <c r="M26" s="39"/>
      <c r="N26" s="49"/>
      <c r="O26" s="50"/>
      <c r="P26" s="39"/>
      <c r="Q26" s="39"/>
      <c r="R26" s="39"/>
      <c r="S26" s="39"/>
    </row>
    <row r="27" spans="2:19" s="2" customFormat="1" ht="30" customHeight="1" x14ac:dyDescent="0.3">
      <c r="B27" s="27"/>
      <c r="C27" s="2" t="s">
        <v>79</v>
      </c>
      <c r="E27" s="47"/>
      <c r="F27" s="39"/>
      <c r="G27" s="39"/>
      <c r="H27" s="48"/>
      <c r="I27" s="48"/>
      <c r="J27" s="48"/>
      <c r="K27" s="39"/>
      <c r="L27" s="39"/>
      <c r="M27" s="39"/>
      <c r="N27" s="49"/>
      <c r="O27" s="50"/>
      <c r="P27" s="39"/>
      <c r="Q27" s="39"/>
      <c r="R27" s="39"/>
      <c r="S27" s="39"/>
    </row>
    <row r="28" spans="2:19" s="2" customFormat="1" ht="30" customHeight="1" x14ac:dyDescent="0.3">
      <c r="B28" s="28"/>
      <c r="C28" s="2" t="s">
        <v>77</v>
      </c>
      <c r="E28" s="47"/>
      <c r="F28" s="39"/>
      <c r="G28" s="39"/>
      <c r="H28" s="48"/>
      <c r="I28" s="48"/>
      <c r="J28" s="48"/>
      <c r="K28" s="39"/>
      <c r="L28" s="39"/>
      <c r="M28" s="39"/>
      <c r="N28" s="49"/>
      <c r="O28" s="50"/>
      <c r="P28" s="39"/>
      <c r="Q28" s="39"/>
      <c r="R28" s="39"/>
      <c r="S28" s="39"/>
    </row>
    <row r="29" spans="2:19" s="2" customFormat="1" ht="30" customHeight="1" x14ac:dyDescent="0.3">
      <c r="B29" s="29"/>
      <c r="C29" s="2" t="s">
        <v>80</v>
      </c>
      <c r="E29" s="47"/>
      <c r="F29" s="39"/>
      <c r="G29" s="39"/>
      <c r="H29" s="48"/>
      <c r="I29" s="48"/>
      <c r="J29" s="48"/>
      <c r="K29" s="39"/>
      <c r="L29" s="39"/>
      <c r="M29" s="39"/>
      <c r="N29" s="49"/>
      <c r="O29" s="50"/>
      <c r="P29" s="39"/>
      <c r="Q29" s="39"/>
      <c r="R29" s="39"/>
      <c r="S29" s="39"/>
    </row>
    <row r="30" spans="2:19" s="2" customFormat="1" ht="30" customHeight="1" x14ac:dyDescent="0.3">
      <c r="B30" s="34"/>
      <c r="C30" s="2" t="s">
        <v>81</v>
      </c>
      <c r="E30" s="47"/>
      <c r="F30" s="39"/>
      <c r="G30" s="39"/>
      <c r="H30" s="48"/>
      <c r="I30" s="48"/>
      <c r="J30" s="48"/>
      <c r="K30" s="39"/>
      <c r="L30" s="39"/>
      <c r="M30" s="39"/>
      <c r="N30" s="49"/>
      <c r="O30" s="50"/>
      <c r="P30" s="39"/>
      <c r="Q30" s="39"/>
      <c r="R30" s="39"/>
      <c r="S30" s="39"/>
    </row>
    <row r="31" spans="2:19" s="2" customFormat="1" ht="30" customHeight="1" x14ac:dyDescent="0.3">
      <c r="E31" s="47"/>
      <c r="F31" s="39"/>
      <c r="G31" s="39"/>
      <c r="H31" s="48"/>
      <c r="I31" s="48"/>
      <c r="J31" s="48"/>
      <c r="K31" s="39"/>
      <c r="L31" s="39"/>
      <c r="M31" s="39"/>
      <c r="N31" s="49"/>
      <c r="O31" s="50"/>
      <c r="P31" s="39"/>
      <c r="Q31" s="39"/>
      <c r="R31" s="39"/>
      <c r="S31" s="39"/>
    </row>
    <row r="32" spans="2:19" s="2" customFormat="1" x14ac:dyDescent="0.3">
      <c r="E32" s="47"/>
      <c r="F32" s="39"/>
      <c r="G32" s="39"/>
      <c r="H32" s="48"/>
      <c r="I32" s="48"/>
      <c r="J32" s="48"/>
      <c r="K32" s="39"/>
      <c r="L32" s="39"/>
      <c r="M32" s="39"/>
      <c r="N32" s="49"/>
      <c r="O32" s="50"/>
      <c r="P32" s="39"/>
      <c r="Q32" s="39"/>
      <c r="R32" s="39"/>
      <c r="S32" s="39"/>
    </row>
    <row r="33" spans="5:19" s="2" customFormat="1" x14ac:dyDescent="0.3">
      <c r="E33" s="47"/>
      <c r="F33" s="39"/>
      <c r="G33" s="39"/>
      <c r="H33" s="48"/>
      <c r="I33" s="48"/>
      <c r="J33" s="48"/>
      <c r="K33" s="39"/>
      <c r="L33" s="39"/>
      <c r="M33" s="39"/>
      <c r="N33" s="49"/>
      <c r="O33" s="50"/>
      <c r="P33" s="39"/>
      <c r="Q33" s="39"/>
      <c r="R33" s="39"/>
      <c r="S33" s="39"/>
    </row>
    <row r="34" spans="5:19" s="2" customFormat="1" x14ac:dyDescent="0.3">
      <c r="E34" s="47"/>
      <c r="F34" s="39"/>
      <c r="G34" s="39"/>
      <c r="H34" s="48"/>
      <c r="I34" s="48"/>
      <c r="J34" s="48"/>
      <c r="K34" s="39"/>
      <c r="L34" s="39"/>
      <c r="M34" s="39"/>
      <c r="N34" s="49"/>
      <c r="O34" s="50"/>
      <c r="P34" s="39"/>
      <c r="Q34" s="39"/>
      <c r="R34" s="39"/>
      <c r="S34" s="39"/>
    </row>
    <row r="35" spans="5:19" s="2" customFormat="1" x14ac:dyDescent="0.3">
      <c r="E35" s="47"/>
      <c r="F35" s="39"/>
      <c r="G35" s="39"/>
      <c r="H35" s="48"/>
      <c r="I35" s="48"/>
      <c r="J35" s="48"/>
      <c r="K35" s="39"/>
      <c r="L35" s="39"/>
      <c r="M35" s="39"/>
      <c r="N35" s="49"/>
      <c r="O35" s="50"/>
      <c r="P35" s="39"/>
      <c r="Q35" s="39"/>
      <c r="R35" s="39"/>
      <c r="S35" s="39"/>
    </row>
    <row r="36" spans="5:19" s="2" customFormat="1" x14ac:dyDescent="0.3">
      <c r="E36" s="47"/>
      <c r="F36" s="39"/>
      <c r="G36" s="39"/>
      <c r="H36" s="48"/>
      <c r="I36" s="48"/>
      <c r="J36" s="48"/>
      <c r="K36" s="39"/>
      <c r="L36" s="39"/>
      <c r="M36" s="39"/>
      <c r="N36" s="49"/>
      <c r="O36" s="50"/>
      <c r="P36" s="39"/>
      <c r="Q36" s="39"/>
      <c r="R36" s="39"/>
      <c r="S36" s="39"/>
    </row>
    <row r="37" spans="5:19" s="2" customFormat="1" x14ac:dyDescent="0.3">
      <c r="E37" s="47"/>
      <c r="F37" s="39"/>
      <c r="G37" s="39"/>
      <c r="H37" s="48"/>
      <c r="I37" s="48"/>
      <c r="J37" s="48"/>
      <c r="K37" s="39"/>
      <c r="L37" s="39"/>
      <c r="M37" s="39"/>
      <c r="N37" s="49"/>
      <c r="O37" s="50"/>
      <c r="P37" s="39"/>
      <c r="Q37" s="39"/>
      <c r="R37" s="39"/>
      <c r="S37" s="39"/>
    </row>
    <row r="38" spans="5:19" s="2" customFormat="1" x14ac:dyDescent="0.3">
      <c r="E38" s="47"/>
      <c r="F38" s="39"/>
      <c r="G38" s="39"/>
      <c r="H38" s="48"/>
      <c r="I38" s="48"/>
      <c r="J38" s="48"/>
      <c r="K38" s="39"/>
      <c r="L38" s="39"/>
      <c r="M38" s="39"/>
      <c r="N38" s="49"/>
      <c r="O38" s="50"/>
      <c r="P38" s="39"/>
      <c r="Q38" s="39"/>
      <c r="R38" s="39"/>
      <c r="S38" s="39"/>
    </row>
    <row r="39" spans="5:19" s="2" customFormat="1" x14ac:dyDescent="0.3">
      <c r="E39" s="47"/>
      <c r="F39" s="39"/>
      <c r="G39" s="39"/>
      <c r="H39" s="48"/>
      <c r="I39" s="48"/>
      <c r="J39" s="48"/>
      <c r="K39" s="39"/>
      <c r="L39" s="39"/>
      <c r="M39" s="39"/>
      <c r="N39" s="49"/>
      <c r="O39" s="50"/>
      <c r="P39" s="39"/>
      <c r="Q39" s="39"/>
      <c r="R39" s="39"/>
      <c r="S39" s="39"/>
    </row>
    <row r="40" spans="5:19" s="2" customFormat="1" x14ac:dyDescent="0.3">
      <c r="E40" s="47"/>
      <c r="F40" s="39"/>
      <c r="G40" s="39"/>
      <c r="H40" s="48"/>
      <c r="I40" s="48"/>
      <c r="J40" s="48"/>
      <c r="K40" s="39"/>
      <c r="L40" s="39"/>
      <c r="M40" s="39"/>
      <c r="N40" s="49"/>
      <c r="O40" s="50"/>
      <c r="P40" s="39"/>
      <c r="Q40" s="39"/>
      <c r="R40" s="39"/>
      <c r="S40" s="39"/>
    </row>
    <row r="41" spans="5:19" s="2" customFormat="1" x14ac:dyDescent="0.3">
      <c r="E41" s="47"/>
      <c r="F41" s="39"/>
      <c r="G41" s="39"/>
      <c r="H41" s="48"/>
      <c r="I41" s="48"/>
      <c r="J41" s="48"/>
      <c r="K41" s="39"/>
      <c r="L41" s="39"/>
      <c r="M41" s="39"/>
      <c r="N41" s="49"/>
      <c r="O41" s="50"/>
      <c r="P41" s="39"/>
      <c r="Q41" s="39"/>
      <c r="R41" s="39"/>
      <c r="S41" s="39"/>
    </row>
    <row r="42" spans="5:19" s="2" customFormat="1" x14ac:dyDescent="0.3">
      <c r="E42" s="47"/>
      <c r="F42" s="39"/>
      <c r="G42" s="39"/>
      <c r="H42" s="48"/>
      <c r="I42" s="48"/>
      <c r="J42" s="48"/>
      <c r="K42" s="39"/>
      <c r="L42" s="39"/>
      <c r="M42" s="39"/>
      <c r="N42" s="49"/>
      <c r="O42" s="50"/>
      <c r="P42" s="39"/>
      <c r="Q42" s="39"/>
      <c r="R42" s="39"/>
      <c r="S42" s="39"/>
    </row>
    <row r="43" spans="5:19" s="2" customFormat="1" x14ac:dyDescent="0.3">
      <c r="E43" s="47"/>
      <c r="F43" s="39"/>
      <c r="G43" s="39"/>
      <c r="H43" s="48"/>
      <c r="I43" s="48"/>
      <c r="J43" s="48"/>
      <c r="K43" s="39"/>
      <c r="L43" s="39"/>
      <c r="M43" s="39"/>
      <c r="N43" s="49"/>
      <c r="O43" s="50"/>
      <c r="P43" s="39"/>
      <c r="Q43" s="39"/>
      <c r="R43" s="39"/>
      <c r="S43" s="39"/>
    </row>
    <row r="44" spans="5:19" s="2" customFormat="1" x14ac:dyDescent="0.3">
      <c r="E44" s="47"/>
      <c r="F44" s="39"/>
      <c r="G44" s="39"/>
      <c r="H44" s="48"/>
      <c r="I44" s="48"/>
      <c r="J44" s="48"/>
      <c r="K44" s="39"/>
      <c r="L44" s="39"/>
      <c r="M44" s="39"/>
      <c r="N44" s="49"/>
      <c r="O44" s="50"/>
      <c r="P44" s="39"/>
      <c r="Q44" s="39"/>
      <c r="R44" s="39"/>
      <c r="S44" s="39"/>
    </row>
    <row r="45" spans="5:19" s="2" customFormat="1" x14ac:dyDescent="0.3">
      <c r="E45" s="47"/>
      <c r="F45" s="39"/>
      <c r="G45" s="39"/>
      <c r="H45" s="48"/>
      <c r="I45" s="48"/>
      <c r="J45" s="48"/>
      <c r="K45" s="39"/>
      <c r="L45" s="39"/>
      <c r="M45" s="39"/>
      <c r="N45" s="49"/>
      <c r="O45" s="50"/>
      <c r="P45" s="39"/>
      <c r="Q45" s="39"/>
      <c r="R45" s="39"/>
      <c r="S45" s="39"/>
    </row>
  </sheetData>
  <mergeCells count="3">
    <mergeCell ref="K2:L2"/>
    <mergeCell ref="H4:I4"/>
    <mergeCell ref="O4:Q4"/>
  </mergeCells>
  <dataValidations count="2">
    <dataValidation allowBlank="1" showInputMessage="1" showErrorMessage="1" prompt="Enter employee names in this column" sqref="C4:C5" xr:uid="{00000000-0002-0000-0000-000000000000}"/>
    <dataValidation allowBlank="1" showInputMessage="1" showErrorMessage="1" prompt="Enter employee names in the employee name table in this worksheet. These names are used as options in Column B of each month's absence table" sqref="B2" xr:uid="{00000000-0002-0000-0000-000001000000}"/>
  </dataValidations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2026-02-10T06:06:23Z</dcterms:created>
  <dcterms:modified xsi:type="dcterms:W3CDTF">2026-03-31T06:53:58Z</dcterms:modified>
</cp:coreProperties>
</file>